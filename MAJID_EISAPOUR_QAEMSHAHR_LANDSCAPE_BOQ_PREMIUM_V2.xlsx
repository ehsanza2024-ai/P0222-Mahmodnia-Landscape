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0222 MohamadNia\"/>
    </mc:Choice>
  </mc:AlternateContent>
  <bookViews>
    <workbookView xWindow="0" yWindow="0" windowWidth="20490" windowHeight="7305" tabRatio="800" activeTab="1"/>
  </bookViews>
  <sheets>
    <sheet name="00 | جلد و هویت" sheetId="1" r:id="rId1"/>
    <sheet name="01 | Project Info" sheetId="2" r:id="rId2"/>
    <sheet name="02 | Design Narrative" sheetId="3" r:id="rId3"/>
    <sheet name="03 | Design Basis" sheetId="4" r:id="rId4"/>
    <sheet name="04 | BOQ | برآورد" sheetId="5" r:id="rId5"/>
    <sheet name="05 | Material Schedule" sheetId="6" r:id="rId6"/>
    <sheet name="06 | Planting Schedule" sheetId="7" r:id="rId7"/>
    <sheet name="07 | Lighting &amp; Irrigation" sheetId="8" r:id="rId8"/>
    <sheet name="08 | Technical Notes" sheetId="9" r:id="rId9"/>
    <sheet name="09 | Cost Summary" sheetId="10" r:id="rId10"/>
    <sheet name="10 | Revision Log" sheetId="11" r:id="rId11"/>
  </sheets>
  <definedNames>
    <definedName name="_xlnm._FilterDatabase" localSheetId="4" hidden="1">'04 | BOQ | برآورد'!$A$5:$H$28</definedName>
    <definedName name="_xlnm.Print_Area" localSheetId="0">'00 | جلد و هویت'!$A$1:$H$16</definedName>
    <definedName name="_xlnm.Print_Area" localSheetId="1">'01 | Project Info'!$A$1:$H$14</definedName>
    <definedName name="_xlnm.Print_Area" localSheetId="2">'02 | Design Narrative'!$A$1:$H$10</definedName>
    <definedName name="_xlnm.Print_Area" localSheetId="3">'03 | Design Basis'!$A$1:$H$13</definedName>
    <definedName name="_xlnm.Print_Area" localSheetId="4">'04 | BOQ | برآورد'!$A$1:$H$31</definedName>
    <definedName name="_xlnm.Print_Area" localSheetId="5">'05 | Material Schedule'!$A$1:$G$11</definedName>
    <definedName name="_xlnm.Print_Area" localSheetId="6">'06 | Planting Schedule'!$A$1:$G$12</definedName>
    <definedName name="_xlnm.Print_Area" localSheetId="7">'07 | Lighting &amp; Irrigation'!$A$1:$G$12</definedName>
    <definedName name="_xlnm.Print_Area" localSheetId="8">'08 | Technical Notes'!$A$1:$F$14</definedName>
    <definedName name="_xlnm.Print_Area" localSheetId="9">'09 | Cost Summary'!$A$1:$L$18</definedName>
    <definedName name="_xlnm.Print_Area" localSheetId="10">'10 | Revision Log'!$A$1:$F$9</definedName>
    <definedName name="_xlnm.Print_Titles" localSheetId="1">'01 | Project Info'!$1:$5</definedName>
    <definedName name="_xlnm.Print_Titles" localSheetId="2">'02 | Design Narrative'!$1:$5</definedName>
    <definedName name="_xlnm.Print_Titles" localSheetId="3">'03 | Design Basis'!$1:$5</definedName>
    <definedName name="_xlnm.Print_Titles" localSheetId="4">'04 | BOQ | برآورد'!$1:$5</definedName>
    <definedName name="_xlnm.Print_Titles" localSheetId="5">'05 | Material Schedule'!$1:$5</definedName>
    <definedName name="_xlnm.Print_Titles" localSheetId="6">'06 | Planting Schedule'!$1:$5</definedName>
    <definedName name="_xlnm.Print_Titles" localSheetId="7">'07 | Lighting &amp; Irrigation'!$1:$5</definedName>
    <definedName name="_xlnm.Print_Titles" localSheetId="8">'08 | Technical Notes'!$1:$5</definedName>
    <definedName name="_xlnm.Print_Titles" localSheetId="9">'09 | Cost Summary'!$1:$5</definedName>
    <definedName name="_xlnm.Print_Titles" localSheetId="10">'10 | Revision Log'!$1:$5</definedName>
  </definedNames>
  <calcPr calcId="152511"/>
</workbook>
</file>

<file path=xl/calcChain.xml><?xml version="1.0" encoding="utf-8"?>
<calcChain xmlns="http://schemas.openxmlformats.org/spreadsheetml/2006/main">
  <c r="D24" i="10" l="1"/>
  <c r="G28" i="5"/>
  <c r="B14" i="10" s="1"/>
  <c r="G27" i="5"/>
  <c r="G26" i="5"/>
  <c r="G25" i="5"/>
  <c r="B13" i="10" s="1"/>
  <c r="G24" i="5"/>
  <c r="B12" i="10" s="1"/>
  <c r="G23" i="5"/>
  <c r="G22" i="5"/>
  <c r="G21" i="5"/>
  <c r="G20" i="5"/>
  <c r="B11" i="10" s="1"/>
  <c r="G19" i="5"/>
  <c r="G18" i="5"/>
  <c r="B10" i="10" s="1"/>
  <c r="G17" i="5"/>
  <c r="G16" i="5"/>
  <c r="B9" i="10" s="1"/>
  <c r="G15" i="5"/>
  <c r="G14" i="5"/>
  <c r="G13" i="5"/>
  <c r="G12" i="5"/>
  <c r="B8" i="10" s="1"/>
  <c r="G11" i="5"/>
  <c r="G10" i="5"/>
  <c r="B7" i="10" s="1"/>
  <c r="G9" i="5"/>
  <c r="G8" i="5"/>
  <c r="G7" i="5"/>
  <c r="G6" i="5"/>
  <c r="B6" i="10" s="1"/>
  <c r="B15" i="10" l="1"/>
  <c r="C7" i="10"/>
  <c r="C9" i="10"/>
  <c r="C11" i="10"/>
  <c r="C14" i="10"/>
  <c r="G29" i="5"/>
  <c r="A21" i="10" l="1"/>
  <c r="B16" i="10"/>
  <c r="D21" i="10" s="1"/>
  <c r="G30" i="5"/>
  <c r="G31" i="5" s="1"/>
  <c r="C12" i="10"/>
  <c r="C10" i="10"/>
  <c r="C8" i="10"/>
  <c r="C6" i="10"/>
  <c r="C13" i="10"/>
  <c r="B17" i="10" l="1"/>
  <c r="A24" i="10" s="1"/>
</calcChain>
</file>

<file path=xl/sharedStrings.xml><?xml version="1.0" encoding="utf-8"?>
<sst xmlns="http://schemas.openxmlformats.org/spreadsheetml/2006/main" count="547" uniqueCount="397">
  <si>
    <t>MAJID EISAPOUR</t>
  </si>
  <si>
    <t>DESIGN &amp; SPATIAL PRACTICE  |  استودیو طراحی و فضا</t>
  </si>
  <si>
    <t>LANDSCAPE DESIGN &amp;
TECHNICAL BOQ</t>
  </si>
  <si>
    <t>طراحی منظر و برآورد فنی
حیاط پشتی ویلای مسکونی | قائم‌شهر، مازندران</t>
  </si>
  <si>
    <t>«فضا فقط ساخته نمی‌شود؛ طراحی می‌شود، تجربه می‌شود و به بخشی از زندگی تبدیل می‌شود.»
“Space is not merely built; it is designed, experienced, and made part of everyday life.”</t>
  </si>
  <si>
    <t>PROJECT / پروژه
Backyard Landscape — Qaemshahr</t>
  </si>
  <si>
    <t>Design &amp; Spatial Practice  |  استودیو طراحی و فضا</t>
  </si>
  <si>
    <t>PROJECT INFORMATION</t>
  </si>
  <si>
    <t>مشخصات پروژه</t>
  </si>
  <si>
    <t>A concise bilingual project identity sheet  |  شناسنامه پروژه</t>
  </si>
  <si>
    <t>عنوان / Title</t>
  </si>
  <si>
    <t>مقدار / Value</t>
  </si>
  <si>
    <t>کارفرما / Client</t>
  </si>
  <si>
    <t>—</t>
  </si>
  <si>
    <t>مکان / Location</t>
  </si>
  <si>
    <t>قائم‌شهر، مازندران / Qaemshahr, Mazandaran</t>
  </si>
  <si>
    <t>مساحت سایت / Site Area</t>
  </si>
  <si>
    <t>≈ 495 m²</t>
  </si>
  <si>
    <t>تاریخ / Date</t>
  </si>
  <si>
    <t>1405 / 2026</t>
  </si>
  <si>
    <t>نوع پروژه / Project Type</t>
  </si>
  <si>
    <t>طراحی منظر حیاط ویلایی / Residential Backyard Landscape</t>
  </si>
  <si>
    <t>زبان طراحی / Design Language</t>
  </si>
  <si>
    <t>Contemporary • Natural • Architectural</t>
  </si>
  <si>
    <t>مقیاس مبنا / Working Scale</t>
  </si>
  <si>
    <t>1:100 Concept</t>
  </si>
  <si>
    <t>نسخه / Revision</t>
  </si>
  <si>
    <t>01</t>
  </si>
  <si>
    <t>رویکرد / Approach</t>
  </si>
  <si>
    <t>Outdoor Room / اتاقِ بیرونی</t>
  </si>
  <si>
    <t>برنامه / Program</t>
  </si>
  <si>
    <t>Kitchen Garden + Social Space + Pavilion</t>
  </si>
  <si>
    <t>سطح خدمات / Deliverable</t>
  </si>
  <si>
    <t>Concept + BOQ + Technical Notes</t>
  </si>
  <si>
    <t>تهیه‌کننده / Prepared by</t>
  </si>
  <si>
    <t>Design Identity / هویت طراحی
A calm, contemporary garden organized as an outdoor room: productive planting to the north, a generous green heart at the center, and an architectural social space toward the south-west. The service edge remains intact and is treated as an existing condition rather than a redesign scope.
باغی معاصر و آرام که همچون یک اتاقِ بیرونی سازمان‌دهی شده است: باغ سبزیِ کاربردی در شمال، قلب سبز و باز در مرکز، و فضای اجتماعیِ معماری‌شده در جنوب‌غرب. لبه خدماتی موجود دست‌نخورده باقی می‌ماند و صرفاً به‌عنوان یک وضعیت موجود در نظر گرفته شده است.</t>
  </si>
  <si>
    <t>DESIGN NARRATIVE</t>
  </si>
  <si>
    <t>روایت و ایده طراحی</t>
  </si>
  <si>
    <t>Concept, atmosphere, spatial sequence  |  روایت، اتمسفر و توالی فضایی</t>
  </si>
  <si>
    <t>ID</t>
  </si>
  <si>
    <t>موضوع / Topic</t>
  </si>
  <si>
    <t>متن حرفه‌ای / Professional Narrative</t>
  </si>
  <si>
    <t>ایده مرکزی / Core Idea</t>
  </si>
  <si>
    <t>OUTDOOR ROOM — اتاقِ بیرونی</t>
  </si>
  <si>
    <t>The garden is conceived as an extension of domestic life, not as a collection of isolated objects.
باغ به‌عنوان امتداد زندگی روزمره طراحی شده است، نه مجموعه‌ای از عناصر جدا از هم.</t>
  </si>
  <si>
    <t>02</t>
  </si>
  <si>
    <t>توالی ورود / Arrival Sequence</t>
  </si>
  <si>
    <t>FROM PARKING TO GARDEN — از مسیر به باغ</t>
  </si>
  <si>
    <t>The entrance begins directly from the parking corridor; the path becomes a spatial threshold through texture, planting and controlled views.
ورودی مستقیماً از مسیر پارکینگ آغاز می‌شود و با تغییر بافت، کاشت و کنترل دید به یک آستانه فضایی تبدیل می‌شود.</t>
  </si>
  <si>
    <t>03</t>
  </si>
  <si>
    <t>قلب سبز / Green Heart</t>
  </si>
  <si>
    <t>OPEN LAWN — میدان سبز</t>
  </si>
  <si>
    <t>A quiet central clearing balances the hardscape and gives the garden visual breathing room.
فضای سبز مرکزی، تعادل میان کف‌سازی و کاشت را برقرار کرده و به باغ فرصت تنفس بصری می‌دهد.</t>
  </si>
  <si>
    <t>04</t>
  </si>
  <si>
    <t>فضای زندگی / Living Space</t>
  </si>
  <si>
    <t>PAVILION + TERRACE — پاویون و تراس</t>
  </si>
  <si>
    <t>A compact architectural pavilion and open terrace form one continuous social composition.
پاویون و تراس باز به‌عنوان یک ترکیب پیوسته برای نشستن، گفت‌وگو و مکث شکل می‌گیرند.</t>
  </si>
  <si>
    <t>05</t>
  </si>
  <si>
    <t>آب معماری / Architectural Water</t>
  </si>
  <si>
    <t>LINEAR WATER — آبنمای خطی</t>
  </si>
  <si>
    <t>A narrow linear water element accompanies circulation as a reflective architectural line rather than a standalone fountain.
آب به‌صورت یک خط باریک و بازتابنده در کنار مسیر حرکت قرار می‌گیرد، نه به‌عنوان آبنمایی مستقل و جداافتاده.</t>
  </si>
  <si>
    <t>DESIGN BASIS &amp; SCOPE</t>
  </si>
  <si>
    <t>مبنای طراحی و دامنه کار</t>
  </si>
  <si>
    <t>What is included, what remains existing, and the assumptions behind the BOQ  |  دامنه و مبنای محاسبات</t>
  </si>
  <si>
    <t>کد / Code</t>
  </si>
  <si>
    <t>مبنای طراحی / Basis</t>
  </si>
  <si>
    <t>وضعیت / Status</t>
  </si>
  <si>
    <t>واحد / Unit</t>
  </si>
  <si>
    <t>مقدار / Qty</t>
  </si>
  <si>
    <t>یادداشت / Note</t>
  </si>
  <si>
    <t>توضیح / Description</t>
  </si>
  <si>
    <t>B-01</t>
  </si>
  <si>
    <t>20.2 × 24.5 ≈ 495</t>
  </si>
  <si>
    <t>مبنای محاسبه</t>
  </si>
  <si>
    <t>m²</t>
  </si>
  <si>
    <t>495</t>
  </si>
  <si>
    <t>Conceptual</t>
  </si>
  <si>
    <t>Backyard only / فقط حیاط پشتی</t>
  </si>
  <si>
    <t>B-02</t>
  </si>
  <si>
    <t>پاویون / Pavilion</t>
  </si>
  <si>
    <t>5.40 × 4.80</t>
  </si>
  <si>
    <t>طراحی</t>
  </si>
  <si>
    <t>25.9</t>
  </si>
  <si>
    <t>Indicative</t>
  </si>
  <si>
    <t>Final structural design by engineer</t>
  </si>
  <si>
    <t>B-03</t>
  </si>
  <si>
    <t>تراس باز / Open Terrace</t>
  </si>
  <si>
    <t>≈ 6.60 × 3.20</t>
  </si>
  <si>
    <t>21.1</t>
  </si>
  <si>
    <t>Integrated with pavilion</t>
  </si>
  <si>
    <t>B-04</t>
  </si>
  <si>
    <t>آبنمای خطی / Linear Water</t>
  </si>
  <si>
    <t>≈ 11 × 0.50</t>
  </si>
  <si>
    <t>5.5</t>
  </si>
  <si>
    <t>Reflective architectural element</t>
  </si>
  <si>
    <t>B-05</t>
  </si>
  <si>
    <t>باغ سبزی / Kitchen Garden</t>
  </si>
  <si>
    <t>North zone</t>
  </si>
  <si>
    <t>≈120</t>
  </si>
  <si>
    <t>Seasonal</t>
  </si>
  <si>
    <t>Productive planting</t>
  </si>
  <si>
    <t>B-06</t>
  </si>
  <si>
    <t>لبه خدماتی / Service Edge</t>
  </si>
  <si>
    <t>Storage + washing + lobby</t>
  </si>
  <si>
    <t>موجود / Existing</t>
  </si>
  <si>
    <t>Untouched</t>
  </si>
  <si>
    <t>No redesign included</t>
  </si>
  <si>
    <t>B-07</t>
  </si>
  <si>
    <t>ورودی / Entry</t>
  </si>
  <si>
    <t>Direct from parking corridor</t>
  </si>
  <si>
    <t>Integrated threshold</t>
  </si>
  <si>
    <t>No gate/door assumed</t>
  </si>
  <si>
    <t>BILL OF QUANTITIES — BOQ</t>
  </si>
  <si>
    <t>جدول مقادیر و برآورد هزینه</t>
  </si>
  <si>
    <t>Formula-driven technical estimate  |  برآورد فرمول‌محور و قابل کنترل</t>
  </si>
  <si>
    <t>بخش و آیتم / Item</t>
  </si>
  <si>
    <t>شرح فنی و ریزجزئیات / Technical Description</t>
  </si>
  <si>
    <t>قیمت واحد / Unit Rate (Toman)</t>
  </si>
  <si>
    <t>مبلغ کل / Total (Toman)</t>
  </si>
  <si>
    <t>مبنای محاسبه و نکات اجرا / Basis &amp; Notes</t>
  </si>
  <si>
    <t>01-01</t>
  </si>
  <si>
    <t>تجهیز کارگاه / Site Setup</t>
  </si>
  <si>
    <t>محافظت از محدوده موجود، ابزار و تجهیز اولیه</t>
  </si>
  <si>
    <t>دستگاه</t>
  </si>
  <si>
    <t>1</t>
  </si>
  <si>
    <t>شروع پروژه؛ بدون ورود به لبه خدماتی</t>
  </si>
  <si>
    <t>02-01</t>
  </si>
  <si>
    <t>خاکبرداری / Excavation</t>
  </si>
  <si>
    <t>برداشت موضعی برای زیرسازی مسیرها و سازه</t>
  </si>
  <si>
    <t>m³</t>
  </si>
  <si>
    <t>35</t>
  </si>
  <si>
    <t>بر مبنای حدود 35 مترمکعب</t>
  </si>
  <si>
    <t>02-02</t>
  </si>
  <si>
    <t>خاک زراعی / Topsoil</t>
  </si>
  <si>
    <t>تأمین و پخش خاک اصلاح‌شده</t>
  </si>
  <si>
    <t>28</t>
  </si>
  <si>
    <t>برای کاشت و باغ سبزی</t>
  </si>
  <si>
    <t>02-03</t>
  </si>
  <si>
    <t>کمپوست / Compost</t>
  </si>
  <si>
    <t>ماده آلی و اصلاح خاک</t>
  </si>
  <si>
    <t>8</t>
  </si>
  <si>
    <t>اختلاط کنترل‌شده</t>
  </si>
  <si>
    <t>03-01</t>
  </si>
  <si>
    <t>کف‌سازی سنگ / Stone Paving</t>
  </si>
  <si>
    <t>سنگ طبیعی، برش، ملات/بستر، بندکشی</t>
  </si>
  <si>
    <t>45</t>
  </si>
  <si>
    <t>محدوده مسیر و فضای سخت</t>
  </si>
  <si>
    <t>03-02</t>
  </si>
  <si>
    <t>زیرسازی / Subbase</t>
  </si>
  <si>
    <t>مصالح دانه‌بندی + تراکم</t>
  </si>
  <si>
    <t>تراکم مرحله‌ای</t>
  </si>
  <si>
    <t>04-01</t>
  </si>
  <si>
    <t>فونداسیون پاویون / Foundation</t>
  </si>
  <si>
    <t>بتن، آرماتور و قالب‌بندی اولیه</t>
  </si>
  <si>
    <t>30</t>
  </si>
  <si>
    <t>طرح سازه نهایی جداگانه</t>
  </si>
  <si>
    <t>04-02</t>
  </si>
  <si>
    <t>اسکلت فلزی / Steel Frame</t>
  </si>
  <si>
    <t>پروفیل، برش، جوش، ضدزنگ و نصب</t>
  </si>
  <si>
    <t>kg</t>
  </si>
  <si>
    <t>1200</t>
  </si>
  <si>
    <t>وزن تقریبی؛ تأیید مهندس سازه</t>
  </si>
  <si>
    <t>04-03</t>
  </si>
  <si>
    <t>سقف / Roof</t>
  </si>
  <si>
    <t>پوسته سقف و لایه‌های آب‌بندی</t>
  </si>
  <si>
    <t>32</t>
  </si>
  <si>
    <t>هماهنگ با دیتیل معماری</t>
  </si>
  <si>
    <t>04-04</t>
  </si>
  <si>
    <t>ترمووود / Thermowood</t>
  </si>
  <si>
    <t>سقف کاذب/پوسته چوبی منتخب</t>
  </si>
  <si>
    <t>قیمت وابسته به گونه و گرید</t>
  </si>
  <si>
    <t>05-01</t>
  </si>
  <si>
    <t>تراس / Terrace</t>
  </si>
  <si>
    <t>کف‌سازی و لبه‌سازی فضای نشستن</t>
  </si>
  <si>
    <t>22</t>
  </si>
  <si>
    <t>یکپارچه با پاویون</t>
  </si>
  <si>
    <t>06-01</t>
  </si>
  <si>
    <t>کاسه، آب‌بندی، لبه سنگی و گردش آب</t>
  </si>
  <si>
    <t>lm</t>
  </si>
  <si>
    <t>11</t>
  </si>
  <si>
    <t>آبنمای کم‌عمق و معماری</t>
  </si>
  <si>
    <t>07-01</t>
  </si>
  <si>
    <t>آبیاری زیرسطحی / Irrigation</t>
  </si>
  <si>
    <t>شبکه اصلی و کنترل</t>
  </si>
  <si>
    <t>بر مبنای کل سایت</t>
  </si>
  <si>
    <t>07-02</t>
  </si>
  <si>
    <t>لوله قطره‌ای / Drip Line</t>
  </si>
  <si>
    <t>لوله و اتصالات قطره‌ای</t>
  </si>
  <si>
    <t>350</t>
  </si>
  <si>
    <t>برای باغ سبزی و کاشت</t>
  </si>
  <si>
    <t>08-01</t>
  </si>
  <si>
    <t>چمن / Lawn</t>
  </si>
  <si>
    <t>زیرسازی و اجرای چمن</t>
  </si>
  <si>
    <t>140</t>
  </si>
  <si>
    <t>چمن مقاوم و کم‌دردسر</t>
  </si>
  <si>
    <t>08-02</t>
  </si>
  <si>
    <t>درخت شاخص / Specimen Tree</t>
  </si>
  <si>
    <t>درخت شاخص با کاشت و تثبیت</t>
  </si>
  <si>
    <t>عدد</t>
  </si>
  <si>
    <t>2</t>
  </si>
  <si>
    <t>انتخاب نهایی با توجه به اقلیم</t>
  </si>
  <si>
    <t>08-03</t>
  </si>
  <si>
    <t>درخت میوه / Fruit Tree</t>
  </si>
  <si>
    <t>نهال میوه مناسب منطقه</t>
  </si>
  <si>
    <t>4</t>
  </si>
  <si>
    <t>در محدوده باغ تولیدی</t>
  </si>
  <si>
    <t>08-04</t>
  </si>
  <si>
    <t>درختچه / Shrub</t>
  </si>
  <si>
    <t>کاشت درختچه‌های چندلایه</t>
  </si>
  <si>
    <t>تنوع بافت و چهار فصل</t>
  </si>
  <si>
    <t>09-01</t>
  </si>
  <si>
    <t>باغچه تولیدی / Raised Beds</t>
  </si>
  <si>
    <t>ساخت بسترهای کاشت سبزی</t>
  </si>
  <si>
    <t>90</t>
  </si>
  <si>
    <t>بسترهای خوانا و قابل نگهداری</t>
  </si>
  <si>
    <t>10-01</t>
  </si>
  <si>
    <t>چراغ مسیر / Path Light</t>
  </si>
  <si>
    <t>چراغ محوطه با IP مناسب</t>
  </si>
  <si>
    <t>10</t>
  </si>
  <si>
    <t>نور کم‌ارتفاع و کنترل‌شده</t>
  </si>
  <si>
    <t>10-02</t>
  </si>
  <si>
    <t>چراغ توکار / Inground Light</t>
  </si>
  <si>
    <t>نورپردازی تاکیدی</t>
  </si>
  <si>
    <t>بدون خیرگی</t>
  </si>
  <si>
    <t>10-03</t>
  </si>
  <si>
    <t>چراغ خطی آب / Water Linear Light</t>
  </si>
  <si>
    <t>نور خطی ضدآب</t>
  </si>
  <si>
    <t>هماهنگ با دیتیل آب</t>
  </si>
  <si>
    <t>12-01</t>
  </si>
  <si>
    <t>کنترل کیفیت و تحویل / QA &amp; Handover</t>
  </si>
  <si>
    <t>بازدید، رفع نواقص و تحویل اولیه</t>
  </si>
  <si>
    <t>پروژه</t>
  </si>
  <si>
    <t>دو مرحله کنترل</t>
  </si>
  <si>
    <t>جمع مستقیم / Direct Cost</t>
  </si>
  <si>
    <t>ذخیره ریسک و پرت 10% / Risk &amp; Waste</t>
  </si>
  <si>
    <t>برآورد کل / Estimated Total</t>
  </si>
  <si>
    <t>MATERIAL SCHEDULE</t>
  </si>
  <si>
    <t>جدول متریال و مشخصات</t>
  </si>
  <si>
    <t>Material language, application and execution intent  |  زبان متریال و کاربرد</t>
  </si>
  <si>
    <t>متریال / Material</t>
  </si>
  <si>
    <t>کاربرد / Application</t>
  </si>
  <si>
    <t>حس و کیفیت / Character</t>
  </si>
  <si>
    <t>یادداشت اجرایی / Execution Note</t>
  </si>
  <si>
    <t>M-01</t>
  </si>
  <si>
    <t>سنگ طبیعی / Natural Stone</t>
  </si>
  <si>
    <t>مسیرها و تراس</t>
  </si>
  <si>
    <t>Calm • tactile • durable</t>
  </si>
  <si>
    <t>≈67</t>
  </si>
  <si>
    <t>نمونه و گرید نهایی پیش از سفارش تأیید شود</t>
  </si>
  <si>
    <t>M-02</t>
  </si>
  <si>
    <t>سقف و جزئیات پاویون</t>
  </si>
  <si>
    <t>Warm • precise • natural</t>
  </si>
  <si>
    <t>≈30</t>
  </si>
  <si>
    <t>زیرسازی و فاصله تهویه الزامی</t>
  </si>
  <si>
    <t>M-03</t>
  </si>
  <si>
    <t>فلز رنگ‌شده / Coated Steel</t>
  </si>
  <si>
    <t>اسکلت پاویون</t>
  </si>
  <si>
    <t>Light • minimal • architectural</t>
  </si>
  <si>
    <t>≈1200</t>
  </si>
  <si>
    <t>ضدخوردگی مناسب رطوبت شمال</t>
  </si>
  <si>
    <t>M-04</t>
  </si>
  <si>
    <t>بتن / Concrete</t>
  </si>
  <si>
    <t>فونداسیون و بسترها</t>
  </si>
  <si>
    <t>Mass • quiet • robust</t>
  </si>
  <si>
    <t>≈6</t>
  </si>
  <si>
    <t>عیار و طرح اختلاط توسط مجری/مهندس</t>
  </si>
  <si>
    <t>M-05</t>
  </si>
  <si>
    <t>آب / Water</t>
  </si>
  <si>
    <t>آبنمای خطی</t>
  </si>
  <si>
    <t>Reflective • sensory • calm</t>
  </si>
  <si>
    <t>≈11</t>
  </si>
  <si>
    <t>گردش بسته و دسترسی سرویس</t>
  </si>
  <si>
    <t>PLANTING SCHEDULE</t>
  </si>
  <si>
    <t>پالت کاشت و برنامه سبز</t>
  </si>
  <si>
    <t>A layered, seasonal and maintainable planting strategy  |  پالت کاشت لایه‌ای و قابل نگهداری</t>
  </si>
  <si>
    <t>گروه / Group</t>
  </si>
  <si>
    <t>نقش / Role</t>
  </si>
  <si>
    <t>مکان / Zone</t>
  </si>
  <si>
    <t>راهنمای انتخاب / Selection Guide</t>
  </si>
  <si>
    <t>P-01</t>
  </si>
  <si>
    <t>درخت شاخص / Specimen</t>
  </si>
  <si>
    <t>Focal tree / نقطه کانونی</t>
  </si>
  <si>
    <t>مرکز باغ</t>
  </si>
  <si>
    <t>فرم معماری، سایه ملایم، سازگار با اقلیم</t>
  </si>
  <si>
    <t>P-02</t>
  </si>
  <si>
    <t>درخت میوه / Fruit</t>
  </si>
  <si>
    <t>Productive layer / لایه تولیدی</t>
  </si>
  <si>
    <t>شمال</t>
  </si>
  <si>
    <t>گونه‌های سازگار با اقلیم و نگهداری واقعی</t>
  </si>
  <si>
    <t>P-03</t>
  </si>
  <si>
    <t>Structure + texture</t>
  </si>
  <si>
    <t>حاشیه‌ها</t>
  </si>
  <si>
    <t>ترکیب همیشه‌سبز و فصلی</t>
  </si>
  <si>
    <t>P-04</t>
  </si>
  <si>
    <t>پرچین / Hedge</t>
  </si>
  <si>
    <t>Filter + frame</t>
  </si>
  <si>
    <t>لبه‌ها</t>
  </si>
  <si>
    <t>25</t>
  </si>
  <si>
    <t>ارتفاع نهایی کنترل‌شده</t>
  </si>
  <si>
    <t>P-05</t>
  </si>
  <si>
    <t>سبزی فصلی / Seasonal Vegetable</t>
  </si>
  <si>
    <t>Edible landscape</t>
  </si>
  <si>
    <t>باغ سبزی شمال</t>
  </si>
  <si>
    <t>110</t>
  </si>
  <si>
    <t>تقسیم‌بندی فصلی و دسترسی راحت</t>
  </si>
  <si>
    <t>P-06</t>
  </si>
  <si>
    <t>Visual breathing room</t>
  </si>
  <si>
    <t>مرکز</t>
  </si>
  <si>
    <t>سطح یکدست و مقاوم</t>
  </si>
  <si>
    <t>LIGHTING &amp; IRRIGATION</t>
  </si>
  <si>
    <t>نورپردازی و آبیاری</t>
  </si>
  <si>
    <t>Invisible infrastructure, visible atmosphere  |  زیرساخت نامرئی، اتمسفر محسوس</t>
  </si>
  <si>
    <t>سیستم / System</t>
  </si>
  <si>
    <t>عنصر / Element</t>
  </si>
  <si>
    <t>اصل طراحی / Design Principle</t>
  </si>
  <si>
    <t>نکته فنی / Technical Note</t>
  </si>
  <si>
    <t>L-01</t>
  </si>
  <si>
    <t>Lighting</t>
  </si>
  <si>
    <t>Low glow / نور کم‌ارتفاع</t>
  </si>
  <si>
    <t>IP مناسب فضای باز؛ خیرگی کنترل شود</t>
  </si>
  <si>
    <t>L-02</t>
  </si>
  <si>
    <t>چراغ توکار / Inground</t>
  </si>
  <si>
    <t>Accentuate architecture</t>
  </si>
  <si>
    <t>دسترسی سرویس و درین مناسب</t>
  </si>
  <si>
    <t>L-03</t>
  </si>
  <si>
    <t>نور خطی آب / Water Light</t>
  </si>
  <si>
    <t>Continuous reflection</t>
  </si>
  <si>
    <t>کاملاً مناسب محیط مرطوب</t>
  </si>
  <si>
    <t>I-01</t>
  </si>
  <si>
    <t>Irrigation</t>
  </si>
  <si>
    <t>شبکه اصلی / Main Line</t>
  </si>
  <si>
    <t>120</t>
  </si>
  <si>
    <t>Efficient distribution</t>
  </si>
  <si>
    <t>تفکیک زون‌های آبیاری</t>
  </si>
  <si>
    <t>I-02</t>
  </si>
  <si>
    <t>خط قطره‌ای / Drip Line</t>
  </si>
  <si>
    <t>Water efficiency</t>
  </si>
  <si>
    <t>ویژه باغ سبزی و کاشت</t>
  </si>
  <si>
    <t>I-03</t>
  </si>
  <si>
    <t>شیر برقی / Solenoid Valve</t>
  </si>
  <si>
    <t>6</t>
  </si>
  <si>
    <t>Zone control</t>
  </si>
  <si>
    <t>دسترسی برای تعمیرات</t>
  </si>
  <si>
    <t>TECHNICAL NOTES &amp; QA</t>
  </si>
  <si>
    <t>یادداشت‌های اجرایی و کنترل کیفیت</t>
  </si>
  <si>
    <t>Clear instructions for tender, execution and handover  |  نکات روشن برای اجرا و تحویل</t>
  </si>
  <si>
    <t>دستورالعمل / Instruction</t>
  </si>
  <si>
    <t>تمام سطوح سخت پیش از اجرای لایه نهایی باید متراکم، تراز و دارای شیب کنترل‌شده باشند.</t>
  </si>
  <si>
    <t>زهکشی / Drainage</t>
  </si>
  <si>
    <t>در اقلیم مرطوب، مسیر آب سطحی باید پیش از کف‌سازی حل شود؛ آب نباید به سازه پاویون هدایت شود.</t>
  </si>
  <si>
    <t>ابعاد این دفتر مفهومی است؛ نقشه سازه، فونداسیون، اتصالات و جزئیات نهایی توسط مهندس ذی‌صلاح تأیید شود.</t>
  </si>
  <si>
    <t>چوب / Timber</t>
  </si>
  <si>
    <t>ترمووود باید از تأمین‌کننده معتبر و با گرید مناسب فضای بیرونی تهیه شود؛ زیرسازی و تهویه پشت چوب الزامی است.</t>
  </si>
  <si>
    <t>نور / Lighting</t>
  </si>
  <si>
    <t>چراغ‌های فضای باز باید برای محیط مرطوب و بارندگی انتخاب شوند؛ مسیر کابل و دسترسی تعمیرات از ابتدا پیش‌بینی شود.</t>
  </si>
  <si>
    <t>06</t>
  </si>
  <si>
    <t>آبنمای خطی باید دارای گردش بسته، دسترسی سرویس، آب‌بندی مناسب و امکان تخلیه باشد.</t>
  </si>
  <si>
    <t>07</t>
  </si>
  <si>
    <t>کاشت / Planting</t>
  </si>
  <si>
    <t>گونه‌ها بر اساس رطوبت، زهکشی، نور، نگهداری و دسترسی محلی نهایی شوند؛ لیست این دفتر جایگزین انتخاب گیاه توسط مجری نیست.</t>
  </si>
  <si>
    <t>08</t>
  </si>
  <si>
    <t>لبه خدماتی / Existing Service Edge</t>
  </si>
  <si>
    <t>انبار، فضای شست‌وشوی نیمه‌باز و لابی موجود در دامنه طراحی مجدد نیستند و باید در زمان اجرا حفظ شوند.</t>
  </si>
  <si>
    <t>COST SUMMARY &amp; CONTROL</t>
  </si>
  <si>
    <t>خلاصه هزینه و کنترل برآورد</t>
  </si>
  <si>
    <t>A decision-ready financial snapshot  |  نمای مالی خوانا و تصمیم‌پذیر</t>
  </si>
  <si>
    <t>بخش / Section</t>
  </si>
  <si>
    <t>جمع / Total (Toman)</t>
  </si>
  <si>
    <t>سهم / Share</t>
  </si>
  <si>
    <t>کنترل / Check</t>
  </si>
  <si>
    <t>01–02 | آماده‌سازی و زیرسازی</t>
  </si>
  <si>
    <t>OK</t>
  </si>
  <si>
    <t>03 | کف‌سازی و محوطه سخت</t>
  </si>
  <si>
    <t>04 | پاویون</t>
  </si>
  <si>
    <t>05–06 | تراس و آب</t>
  </si>
  <si>
    <t>07 | آبیاری</t>
  </si>
  <si>
    <t>08 | کاشت و چمن</t>
  </si>
  <si>
    <t>09 | باغ سبزی</t>
  </si>
  <si>
    <t>10 | نورپردازی</t>
  </si>
  <si>
    <t>12 | کنترل کیفیت</t>
  </si>
  <si>
    <t>ذخیره 10% / Risk &amp; Waste</t>
  </si>
  <si>
    <t>DIRECT COST
هزینه مستقیم</t>
  </si>
  <si>
    <t>RISK / WASTE
ذخیره ریسک</t>
  </si>
  <si>
    <t>ESTIMATED TOTAL
برآورد کل</t>
  </si>
  <si>
    <t>SITE AREA
مساحت سایت</t>
  </si>
  <si>
    <t>REVISION LOG &amp; DOCUMENT CONTROL</t>
  </si>
  <si>
    <t>تاریخچه نسخه‌ها و کنترل مدارک</t>
  </si>
  <si>
    <t>Keep every issue traceable  |  کنترل نسخه و گردش مستندات</t>
  </si>
  <si>
    <t>نسخه / Rev.</t>
  </si>
  <si>
    <t>شرح تغییر / Description</t>
  </si>
  <si>
    <t>تهیه / Prepared</t>
  </si>
  <si>
    <t>بررسی / Checked</t>
  </si>
  <si>
    <t>تأیید / Approved</t>
  </si>
  <si>
    <t>1405/07/10</t>
  </si>
  <si>
    <t xml:space="preserve">نسخه پایه BOQ </t>
  </si>
  <si>
    <t>مهندس مجید عیسی پور</t>
  </si>
  <si>
    <t>PREPARED &amp; DESIGNED BY / تهیه و طراحی
مهندس مجید عیسی پور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</si>
</sst>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##"/>
  </numFmts>
  <fonts count="22">
    <font>
      <sz val="11"/>
      <color theme="1"/>
      <name val="Arial"/>
      <family val="2"/>
      <scheme val="minor"/>
    </font>
    <font>
      <b/>
      <sz val="32"/>
      <color rgb="FF253238"/>
      <name val="Aptos Display"/>
    </font>
    <font>
      <b/>
      <sz val="10"/>
      <color rgb="FFFFFFFF"/>
      <name val="Tahoma"/>
    </font>
    <font>
      <b/>
      <sz val="9"/>
      <color rgb="FF253238"/>
      <name val="Tahoma"/>
    </font>
    <font>
      <sz val="9"/>
      <color rgb="FF253238"/>
      <name val="Tahoma"/>
    </font>
    <font>
      <b/>
      <sz val="10"/>
      <color rgb="FF253238"/>
      <name val="Aptos"/>
    </font>
    <font>
      <b/>
      <sz val="10"/>
      <color rgb="FF253238"/>
      <name val="Tahoma"/>
    </font>
    <font>
      <sz val="10"/>
      <color rgb="FF253238"/>
      <name val="Tahoma"/>
    </font>
    <font>
      <b/>
      <sz val="11"/>
      <color rgb="FF253238"/>
      <name val="Tahoma"/>
    </font>
    <font>
      <b/>
      <sz val="11"/>
      <color rgb="FFFFFFFF"/>
      <name val="Tahoma"/>
    </font>
    <font>
      <b/>
      <sz val="15"/>
      <color rgb="FFFFFFFF"/>
      <name val="Aptos Display"/>
    </font>
    <font>
      <b/>
      <sz val="8"/>
      <color rgb="FFD8C7A7"/>
      <name val="Tahoma"/>
    </font>
    <font>
      <b/>
      <sz val="21"/>
      <color rgb="FF1F2A2E"/>
      <name val="Aptos Display"/>
    </font>
    <font>
      <b/>
      <sz val="13"/>
      <color rgb="FFA66A4B"/>
      <name val="Tahoma"/>
    </font>
    <font>
      <i/>
      <sz val="9"/>
      <color rgb="FF71806A"/>
      <name val="Aptos"/>
    </font>
    <font>
      <b/>
      <sz val="9"/>
      <color rgb="FFFFFFFF"/>
      <name val="Tahoma"/>
    </font>
    <font>
      <b/>
      <sz val="9"/>
      <color rgb="FF1F2A2E"/>
      <name val="Tahoma"/>
    </font>
    <font>
      <b/>
      <sz val="17"/>
      <color rgb="FFFFFFFF"/>
      <name val="Aptos Display"/>
    </font>
    <font>
      <b/>
      <sz val="12"/>
      <color rgb="FFA66A4B"/>
      <name val="Tahoma"/>
    </font>
    <font>
      <b/>
      <sz val="24"/>
      <color rgb="FF1F2A2E"/>
      <name val="Aptos Display"/>
    </font>
    <font>
      <b/>
      <sz val="15"/>
      <color rgb="FF71806A"/>
      <name val="Tahoma"/>
    </font>
    <font>
      <i/>
      <sz val="11"/>
      <color rgb="FF253238"/>
      <name val="Tahoma"/>
    </font>
  </fonts>
  <fills count="11">
    <fill>
      <patternFill patternType="none"/>
    </fill>
    <fill>
      <patternFill patternType="gray125"/>
    </fill>
    <fill>
      <patternFill patternType="solid">
        <fgColor rgb="FFEAE5DA"/>
      </patternFill>
    </fill>
    <fill>
      <patternFill patternType="solid">
        <fgColor rgb="FFF5F1E8"/>
      </patternFill>
    </fill>
    <fill>
      <patternFill patternType="solid">
        <fgColor rgb="FF253238"/>
      </patternFill>
    </fill>
    <fill>
      <patternFill patternType="solid">
        <fgColor rgb="FFFFFFFF"/>
      </patternFill>
    </fill>
    <fill>
      <patternFill patternType="solid">
        <fgColor rgb="FF1F2A2E"/>
      </patternFill>
    </fill>
    <fill>
      <patternFill patternType="solid">
        <fgColor rgb="FFFBF9F5"/>
      </patternFill>
    </fill>
    <fill>
      <patternFill patternType="solid">
        <fgColor rgb="FFA66A4B"/>
      </patternFill>
    </fill>
    <fill>
      <patternFill patternType="solid">
        <fgColor rgb="FF71806A"/>
      </patternFill>
    </fill>
    <fill>
      <patternFill patternType="solid">
        <fgColor rgb="FFF0ECE4"/>
      </patternFill>
    </fill>
  </fills>
  <borders count="44">
    <border>
      <left/>
      <right/>
      <top/>
      <bottom/>
      <diagonal/>
    </border>
    <border>
      <left style="thin">
        <color rgb="FFCFC8BB"/>
      </left>
      <right style="thin">
        <color rgb="FFCFC8BB"/>
      </right>
      <top style="thin">
        <color rgb="FFCFC8BB"/>
      </top>
      <bottom style="thin">
        <color rgb="FFCFC8BB"/>
      </bottom>
      <diagonal/>
    </border>
    <border>
      <left/>
      <right/>
      <top/>
      <bottom style="medium">
        <color rgb="FF8C8375"/>
      </bottom>
      <diagonal/>
    </border>
    <border>
      <left/>
      <right/>
      <top/>
      <bottom style="thin">
        <color rgb="FFC8C0B3"/>
      </bottom>
      <diagonal/>
    </border>
    <border>
      <left style="hair">
        <color rgb="FFDDD7CC"/>
      </left>
      <right style="hair">
        <color rgb="FFDDD7CC"/>
      </right>
      <top style="medium">
        <color rgb="FF8C8375"/>
      </top>
      <bottom style="medium">
        <color rgb="FF8C8375"/>
      </bottom>
      <diagonal/>
    </border>
    <border>
      <left style="hair">
        <color rgb="FFDDD7CC"/>
      </left>
      <right style="hair">
        <color rgb="FFDDD7CC"/>
      </right>
      <top style="medium">
        <color rgb="FF8C8375"/>
      </top>
      <bottom style="hair">
        <color rgb="FFDDD7CC"/>
      </bottom>
      <diagonal/>
    </border>
    <border>
      <left style="hair">
        <color rgb="FFDDD7CC"/>
      </left>
      <right style="hair">
        <color rgb="FFDDD7CC"/>
      </right>
      <top style="hair">
        <color rgb="FFDDD7CC"/>
      </top>
      <bottom style="hair">
        <color rgb="FFDDD7CC"/>
      </bottom>
      <diagonal/>
    </border>
    <border>
      <left style="hair">
        <color rgb="FFDDD7CC"/>
      </left>
      <right style="hair">
        <color rgb="FFDDD7CC"/>
      </right>
      <top style="medium">
        <color rgb="FF8C8375"/>
      </top>
      <bottom style="thin">
        <color rgb="FFC8C0B3"/>
      </bottom>
      <diagonal/>
    </border>
    <border>
      <left style="hair">
        <color rgb="FFDDD7CC"/>
      </left>
      <right style="hair">
        <color rgb="FFDDD7CC"/>
      </right>
      <top style="thin">
        <color rgb="FFC8C0B3"/>
      </top>
      <bottom style="thin">
        <color rgb="FFC8C0B3"/>
      </bottom>
      <diagonal/>
    </border>
    <border>
      <left style="hair">
        <color rgb="FFDDD7CC"/>
      </left>
      <right style="hair">
        <color rgb="FFDDD7CC"/>
      </right>
      <top style="thin">
        <color rgb="FFC8C0B3"/>
      </top>
      <bottom style="medium">
        <color rgb="FF8C8375"/>
      </bottom>
      <diagonal/>
    </border>
    <border>
      <left style="medium">
        <color rgb="FF8C8375"/>
      </left>
      <right style="hair">
        <color rgb="FFDDD7CC"/>
      </right>
      <top style="medium">
        <color rgb="FF8C8375"/>
      </top>
      <bottom style="medium">
        <color rgb="FF8C8375"/>
      </bottom>
      <diagonal/>
    </border>
    <border>
      <left style="hair">
        <color rgb="FFDDD7CC"/>
      </left>
      <right style="medium">
        <color rgb="FF8C8375"/>
      </right>
      <top style="medium">
        <color rgb="FF8C8375"/>
      </top>
      <bottom style="medium">
        <color rgb="FF8C8375"/>
      </bottom>
      <diagonal/>
    </border>
    <border>
      <left style="medium">
        <color rgb="FF8C8375"/>
      </left>
      <right style="hair">
        <color rgb="FFDDD7CC"/>
      </right>
      <top style="medium">
        <color rgb="FF8C8375"/>
      </top>
      <bottom style="hair">
        <color rgb="FFDDD7CC"/>
      </bottom>
      <diagonal/>
    </border>
    <border>
      <left style="hair">
        <color rgb="FFDDD7CC"/>
      </left>
      <right style="medium">
        <color rgb="FF8C8375"/>
      </right>
      <top style="medium">
        <color rgb="FF8C8375"/>
      </top>
      <bottom style="hair">
        <color rgb="FFDDD7CC"/>
      </bottom>
      <diagonal/>
    </border>
    <border>
      <left style="medium">
        <color rgb="FF8C8375"/>
      </left>
      <right style="hair">
        <color rgb="FFDDD7CC"/>
      </right>
      <top style="hair">
        <color rgb="FFDDD7CC"/>
      </top>
      <bottom style="hair">
        <color rgb="FFDDD7CC"/>
      </bottom>
      <diagonal/>
    </border>
    <border>
      <left style="hair">
        <color rgb="FFDDD7CC"/>
      </left>
      <right style="medium">
        <color rgb="FF8C8375"/>
      </right>
      <top style="hair">
        <color rgb="FFDDD7CC"/>
      </top>
      <bottom style="hair">
        <color rgb="FFDDD7CC"/>
      </bottom>
      <diagonal/>
    </border>
    <border>
      <left style="medium">
        <color rgb="FF8C8375"/>
      </left>
      <right/>
      <top/>
      <bottom/>
      <diagonal/>
    </border>
    <border>
      <left/>
      <right/>
      <top/>
      <bottom/>
      <diagonal/>
    </border>
    <border>
      <left style="hair">
        <color rgb="FFDDD7CC"/>
      </left>
      <right style="medium">
        <color rgb="FF8C8375"/>
      </right>
      <top style="medium">
        <color rgb="FF8C8375"/>
      </top>
      <bottom style="thin">
        <color rgb="FFC8C0B3"/>
      </bottom>
      <diagonal/>
    </border>
    <border>
      <left style="hair">
        <color rgb="FFDDD7CC"/>
      </left>
      <right style="medium">
        <color rgb="FF8C8375"/>
      </right>
      <top style="thin">
        <color rgb="FFC8C0B3"/>
      </top>
      <bottom style="thin">
        <color rgb="FFC8C0B3"/>
      </bottom>
      <diagonal/>
    </border>
    <border>
      <left style="medium">
        <color rgb="FF8C8375"/>
      </left>
      <right/>
      <top/>
      <bottom style="medium">
        <color rgb="FF8C8375"/>
      </bottom>
      <diagonal/>
    </border>
    <border>
      <left/>
      <right/>
      <top/>
      <bottom style="medium">
        <color rgb="FF8C8375"/>
      </bottom>
      <diagonal/>
    </border>
    <border>
      <left style="hair">
        <color rgb="FFDDD7CC"/>
      </left>
      <right style="medium">
        <color rgb="FF8C8375"/>
      </right>
      <top style="thin">
        <color rgb="FFC8C0B3"/>
      </top>
      <bottom style="medium">
        <color rgb="FF8C8375"/>
      </bottom>
      <diagonal/>
    </border>
    <border>
      <left style="medium">
        <color rgb="FF8C8375"/>
      </left>
      <right style="thin">
        <color rgb="FFC8C0B3"/>
      </right>
      <top style="medium">
        <color rgb="FF8C8375"/>
      </top>
      <bottom style="thin">
        <color rgb="FFC8C0B3"/>
      </bottom>
      <diagonal/>
    </border>
    <border>
      <left style="medium">
        <color rgb="FF8C8375"/>
      </left>
      <right style="thin">
        <color rgb="FFC8C0B3"/>
      </right>
      <top style="thin">
        <color rgb="FFC8C0B3"/>
      </top>
      <bottom style="medium">
        <color rgb="FF8C8375"/>
      </bottom>
      <diagonal/>
    </border>
    <border>
      <left/>
      <right/>
      <top style="medium">
        <color rgb="FF8C8375"/>
      </top>
      <bottom style="thin">
        <color rgb="FFC8C0B3"/>
      </bottom>
      <diagonal/>
    </border>
    <border>
      <left/>
      <right style="thin">
        <color rgb="FFC8C0B3"/>
      </right>
      <top style="medium">
        <color rgb="FF8C8375"/>
      </top>
      <bottom style="thin">
        <color rgb="FFC8C0B3"/>
      </bottom>
      <diagonal/>
    </border>
    <border>
      <left/>
      <right/>
      <top style="thin">
        <color rgb="FFC8C0B3"/>
      </top>
      <bottom style="medium">
        <color rgb="FF8C8375"/>
      </bottom>
      <diagonal/>
    </border>
    <border>
      <left/>
      <right style="thin">
        <color rgb="FFC8C0B3"/>
      </right>
      <top style="thin">
        <color rgb="FFC8C0B3"/>
      </top>
      <bottom style="medium">
        <color rgb="FF8C8375"/>
      </bottom>
      <diagonal/>
    </border>
    <border>
      <left style="medium">
        <color rgb="FF8C8375"/>
      </left>
      <right style="hair">
        <color rgb="FFDDD7CC"/>
      </right>
      <top style="hair">
        <color rgb="FFDDD7CC"/>
      </top>
      <bottom style="medium">
        <color rgb="FF8C8375"/>
      </bottom>
      <diagonal/>
    </border>
    <border>
      <left style="hair">
        <color rgb="FFDDD7CC"/>
      </left>
      <right style="hair">
        <color rgb="FFDDD7CC"/>
      </right>
      <top style="hair">
        <color rgb="FFDDD7CC"/>
      </top>
      <bottom style="medium">
        <color rgb="FF8C8375"/>
      </bottom>
      <diagonal/>
    </border>
    <border>
      <left style="hair">
        <color rgb="FFDDD7CC"/>
      </left>
      <right style="medium">
        <color rgb="FF8C8375"/>
      </right>
      <top style="hair">
        <color rgb="FFDDD7CC"/>
      </top>
      <bottom style="medium">
        <color rgb="FF8C8375"/>
      </bottom>
      <diagonal/>
    </border>
    <border>
      <left/>
      <right style="medium">
        <color rgb="FF8C8375"/>
      </right>
      <top/>
      <bottom/>
      <diagonal/>
    </border>
    <border>
      <left/>
      <right style="medium">
        <color rgb="FF8C8375"/>
      </right>
      <top/>
      <bottom style="medium">
        <color rgb="FF8C8375"/>
      </bottom>
      <diagonal/>
    </border>
    <border>
      <left style="thin">
        <color rgb="FFCFC8BB"/>
      </left>
      <right style="thin">
        <color rgb="FFCFC8BB"/>
      </right>
      <top style="medium">
        <color rgb="FF8C8375"/>
      </top>
      <bottom style="thin">
        <color rgb="FFCFC8BB"/>
      </bottom>
      <diagonal/>
    </border>
    <border>
      <left style="thin">
        <color rgb="FFCFC8BB"/>
      </left>
      <right style="medium">
        <color rgb="FF8C8375"/>
      </right>
      <top style="medium">
        <color rgb="FF8C8375"/>
      </top>
      <bottom style="thin">
        <color rgb="FFCFC8BB"/>
      </bottom>
      <diagonal/>
    </border>
    <border>
      <left/>
      <right/>
      <top style="thin">
        <color rgb="FFCFC8BB"/>
      </top>
      <bottom style="thin">
        <color rgb="FFCFC8BB"/>
      </bottom>
      <diagonal/>
    </border>
    <border>
      <left/>
      <right style="medium">
        <color rgb="FF8C8375"/>
      </right>
      <top style="thin">
        <color rgb="FFCFC8BB"/>
      </top>
      <bottom style="thin">
        <color rgb="FFCFC8BB"/>
      </bottom>
      <diagonal/>
    </border>
    <border>
      <left/>
      <right/>
      <top style="thin">
        <color rgb="FFCFC8BB"/>
      </top>
      <bottom style="medium">
        <color rgb="FF8C8375"/>
      </bottom>
      <diagonal/>
    </border>
    <border>
      <left/>
      <right style="medium">
        <color rgb="FF8C8375"/>
      </right>
      <top style="thin">
        <color rgb="FFCFC8BB"/>
      </top>
      <bottom style="medium">
        <color rgb="FF8C8375"/>
      </bottom>
      <diagonal/>
    </border>
    <border>
      <left/>
      <right/>
      <top/>
      <bottom/>
      <diagonal/>
    </border>
    <border>
      <left style="medium">
        <color rgb="FF8C8375"/>
      </left>
      <right/>
      <top style="medium">
        <color rgb="FF8C8375"/>
      </top>
      <bottom/>
      <diagonal/>
    </border>
    <border>
      <left/>
      <right/>
      <top style="medium">
        <color rgb="FF8C8375"/>
      </top>
      <bottom/>
      <diagonal/>
    </border>
    <border>
      <left/>
      <right style="medium">
        <color rgb="FF8C8375"/>
      </right>
      <top style="medium">
        <color rgb="FF8C8375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8" borderId="40" xfId="0" applyFill="1" applyBorder="1"/>
    <xf numFmtId="0" fontId="0" fillId="5" borderId="40" xfId="0" applyFill="1" applyBorder="1"/>
    <xf numFmtId="0" fontId="10" fillId="6" borderId="2" xfId="0" applyFont="1" applyFill="1" applyBorder="1" applyAlignment="1">
      <alignment vertical="center"/>
    </xf>
    <xf numFmtId="0" fontId="0" fillId="6" borderId="2" xfId="0" applyFill="1" applyBorder="1"/>
    <xf numFmtId="0" fontId="11" fillId="6" borderId="2" xfId="0" applyFont="1" applyFill="1" applyBorder="1" applyAlignment="1">
      <alignment horizontal="right" vertical="center"/>
    </xf>
    <xf numFmtId="0" fontId="15" fillId="6" borderId="10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4" fillId="7" borderId="15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0" fillId="0" borderId="32" xfId="0" applyBorder="1"/>
    <xf numFmtId="0" fontId="0" fillId="0" borderId="20" xfId="0" applyBorder="1"/>
    <xf numFmtId="0" fontId="0" fillId="0" borderId="21" xfId="0" applyBorder="1"/>
    <xf numFmtId="0" fontId="2" fillId="4" borderId="34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5" borderId="14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5" fillId="3" borderId="29" xfId="0" applyFont="1" applyFill="1" applyBorder="1" applyAlignment="1">
      <alignment vertical="center" wrapText="1"/>
    </xf>
    <xf numFmtId="0" fontId="6" fillId="3" borderId="30" xfId="0" applyFont="1" applyFill="1" applyBorder="1" applyAlignment="1">
      <alignment vertical="center" wrapText="1"/>
    </xf>
    <xf numFmtId="0" fontId="5" fillId="3" borderId="30" xfId="0" applyFont="1" applyFill="1" applyBorder="1" applyAlignment="1">
      <alignment vertical="center" wrapText="1"/>
    </xf>
    <xf numFmtId="0" fontId="3" fillId="7" borderId="29" xfId="0" applyFont="1" applyFill="1" applyBorder="1" applyAlignment="1">
      <alignment vertical="center" wrapText="1"/>
    </xf>
    <xf numFmtId="0" fontId="4" fillId="7" borderId="30" xfId="0" applyFont="1" applyFill="1" applyBorder="1" applyAlignment="1">
      <alignment vertical="center" wrapText="1"/>
    </xf>
    <xf numFmtId="0" fontId="4" fillId="7" borderId="31" xfId="0" applyFont="1" applyFill="1" applyBorder="1" applyAlignment="1">
      <alignment vertical="center" wrapText="1"/>
    </xf>
    <xf numFmtId="0" fontId="16" fillId="2" borderId="12" xfId="0" applyFont="1" applyFill="1" applyBorder="1" applyAlignment="1">
      <alignment vertical="center" wrapText="1"/>
    </xf>
    <xf numFmtId="0" fontId="16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165" fontId="4" fillId="2" borderId="5" xfId="0" applyNumberFormat="1" applyFont="1" applyFill="1" applyBorder="1" applyAlignment="1">
      <alignment vertical="center" wrapText="1"/>
    </xf>
    <xf numFmtId="3" fontId="4" fillId="2" borderId="5" xfId="0" applyNumberFormat="1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7" borderId="14" xfId="0" applyFont="1" applyFill="1" applyBorder="1" applyAlignment="1">
      <alignment vertical="center" wrapText="1"/>
    </xf>
    <xf numFmtId="165" fontId="4" fillId="7" borderId="6" xfId="0" applyNumberFormat="1" applyFont="1" applyFill="1" applyBorder="1" applyAlignment="1">
      <alignment vertical="center" wrapText="1"/>
    </xf>
    <xf numFmtId="3" fontId="4" fillId="7" borderId="6" xfId="0" applyNumberFormat="1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165" fontId="4" fillId="5" borderId="6" xfId="0" applyNumberFormat="1" applyFont="1" applyFill="1" applyBorder="1" applyAlignment="1">
      <alignment vertical="center" wrapText="1"/>
    </xf>
    <xf numFmtId="3" fontId="4" fillId="5" borderId="6" xfId="0" applyNumberFormat="1" applyFont="1" applyFill="1" applyBorder="1" applyAlignment="1">
      <alignment vertical="center" wrapText="1"/>
    </xf>
    <xf numFmtId="0" fontId="6" fillId="2" borderId="7" xfId="0" applyFont="1" applyFill="1" applyBorder="1"/>
    <xf numFmtId="3" fontId="6" fillId="2" borderId="7" xfId="0" applyNumberFormat="1" applyFont="1" applyFill="1" applyBorder="1"/>
    <xf numFmtId="0" fontId="6" fillId="2" borderId="18" xfId="0" applyFont="1" applyFill="1" applyBorder="1"/>
    <xf numFmtId="0" fontId="6" fillId="2" borderId="8" xfId="0" applyFont="1" applyFill="1" applyBorder="1"/>
    <xf numFmtId="3" fontId="6" fillId="2" borderId="8" xfId="0" applyNumberFormat="1" applyFont="1" applyFill="1" applyBorder="1"/>
    <xf numFmtId="0" fontId="6" fillId="2" borderId="19" xfId="0" applyFont="1" applyFill="1" applyBorder="1"/>
    <xf numFmtId="0" fontId="2" fillId="8" borderId="9" xfId="0" applyFont="1" applyFill="1" applyBorder="1"/>
    <xf numFmtId="3" fontId="2" fillId="8" borderId="9" xfId="0" applyNumberFormat="1" applyFont="1" applyFill="1" applyBorder="1"/>
    <xf numFmtId="0" fontId="2" fillId="8" borderId="22" xfId="0" applyFont="1" applyFill="1" applyBorder="1"/>
    <xf numFmtId="0" fontId="3" fillId="5" borderId="29" xfId="0" applyFont="1" applyFill="1" applyBorder="1" applyAlignment="1">
      <alignment vertical="center" wrapText="1"/>
    </xf>
    <xf numFmtId="0" fontId="4" fillId="5" borderId="30" xfId="0" applyFont="1" applyFill="1" applyBorder="1" applyAlignment="1">
      <alignment vertical="center" wrapText="1"/>
    </xf>
    <xf numFmtId="0" fontId="4" fillId="5" borderId="31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7" borderId="14" xfId="0" applyFont="1" applyFill="1" applyBorder="1" applyAlignment="1">
      <alignment vertical="center" wrapText="1"/>
    </xf>
    <xf numFmtId="3" fontId="7" fillId="7" borderId="6" xfId="0" applyNumberFormat="1" applyFont="1" applyFill="1" applyBorder="1" applyAlignment="1">
      <alignment vertical="center" wrapText="1"/>
    </xf>
    <xf numFmtId="164" fontId="7" fillId="7" borderId="6" xfId="0" applyNumberFormat="1" applyFont="1" applyFill="1" applyBorder="1" applyAlignment="1">
      <alignment vertical="center" wrapText="1"/>
    </xf>
    <xf numFmtId="0" fontId="7" fillId="7" borderId="15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3" fontId="7" fillId="5" borderId="6" xfId="0" applyNumberFormat="1" applyFont="1" applyFill="1" applyBorder="1" applyAlignment="1">
      <alignment vertical="center" wrapText="1"/>
    </xf>
    <xf numFmtId="164" fontId="7" fillId="5" borderId="6" xfId="0" applyNumberFormat="1" applyFont="1" applyFill="1" applyBorder="1" applyAlignment="1">
      <alignment vertical="center" wrapText="1"/>
    </xf>
    <xf numFmtId="0" fontId="7" fillId="5" borderId="15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vertical="center" wrapText="1"/>
    </xf>
    <xf numFmtId="3" fontId="8" fillId="2" borderId="6" xfId="0" applyNumberFormat="1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0" fillId="7" borderId="15" xfId="0" applyFill="1" applyBorder="1" applyAlignment="1">
      <alignment vertical="center" wrapText="1"/>
    </xf>
    <xf numFmtId="0" fontId="9" fillId="8" borderId="29" xfId="0" applyFont="1" applyFill="1" applyBorder="1" applyAlignment="1">
      <alignment vertical="center" wrapText="1"/>
    </xf>
    <xf numFmtId="3" fontId="9" fillId="8" borderId="30" xfId="0" applyNumberFormat="1" applyFont="1" applyFill="1" applyBorder="1" applyAlignment="1">
      <alignment vertical="center" wrapText="1"/>
    </xf>
    <xf numFmtId="0" fontId="9" fillId="8" borderId="30" xfId="0" applyFont="1" applyFill="1" applyBorder="1" applyAlignment="1">
      <alignment vertical="center" wrapText="1"/>
    </xf>
    <xf numFmtId="0" fontId="0" fillId="5" borderId="31" xfId="0" applyFill="1" applyBorder="1" applyAlignment="1">
      <alignment vertical="center" wrapText="1"/>
    </xf>
    <xf numFmtId="0" fontId="7" fillId="7" borderId="30" xfId="0" applyFont="1" applyFill="1" applyBorder="1" applyAlignment="1">
      <alignment vertical="center" wrapText="1"/>
    </xf>
    <xf numFmtId="0" fontId="7" fillId="7" borderId="31" xfId="0" applyFont="1" applyFill="1" applyBorder="1" applyAlignment="1">
      <alignment vertical="center" wrapText="1"/>
    </xf>
    <xf numFmtId="0" fontId="18" fillId="3" borderId="40" xfId="0" applyFont="1" applyFill="1" applyBorder="1" applyAlignment="1">
      <alignment horizontal="center"/>
    </xf>
    <xf numFmtId="0" fontId="0" fillId="0" borderId="0" xfId="0"/>
    <xf numFmtId="0" fontId="20" fillId="5" borderId="40" xfId="0" applyFont="1" applyFill="1" applyBorder="1" applyAlignment="1">
      <alignment horizontal="center" vertical="center" wrapText="1"/>
    </xf>
    <xf numFmtId="0" fontId="21" fillId="10" borderId="41" xfId="0" applyFont="1" applyFill="1" applyBorder="1" applyAlignment="1">
      <alignment horizontal="center" vertical="center" wrapText="1"/>
    </xf>
    <xf numFmtId="0" fontId="0" fillId="10" borderId="42" xfId="0" applyFill="1" applyBorder="1"/>
    <xf numFmtId="0" fontId="0" fillId="10" borderId="43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10" borderId="32" xfId="0" applyFill="1" applyBorder="1"/>
    <xf numFmtId="0" fontId="0" fillId="10" borderId="20" xfId="0" applyFill="1" applyBorder="1"/>
    <xf numFmtId="0" fontId="0" fillId="10" borderId="21" xfId="0" applyFill="1" applyBorder="1"/>
    <xf numFmtId="0" fontId="0" fillId="10" borderId="33" xfId="0" applyFill="1" applyBorder="1"/>
    <xf numFmtId="0" fontId="19" fillId="5" borderId="4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0" fillId="2" borderId="42" xfId="0" applyFill="1" applyBorder="1"/>
    <xf numFmtId="0" fontId="0" fillId="2" borderId="43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33" xfId="0" applyFill="1" applyBorder="1"/>
    <xf numFmtId="0" fontId="1" fillId="3" borderId="40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vertical="center"/>
    </xf>
    <xf numFmtId="0" fontId="0" fillId="0" borderId="3" xfId="0" applyBorder="1"/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3" fillId="5" borderId="14" xfId="0" applyFont="1" applyFill="1" applyBorder="1" applyAlignment="1">
      <alignment vertical="center" wrapText="1"/>
    </xf>
    <xf numFmtId="0" fontId="0" fillId="0" borderId="17" xfId="0" applyBorder="1"/>
    <xf numFmtId="0" fontId="0" fillId="0" borderId="32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0" fillId="0" borderId="33" xfId="0" applyBorder="1"/>
    <xf numFmtId="0" fontId="7" fillId="5" borderId="6" xfId="0" applyFont="1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7" fillId="3" borderId="30" xfId="0" applyFont="1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0" fillId="3" borderId="31" xfId="0" applyFill="1" applyBorder="1" applyAlignment="1">
      <alignment vertical="center" wrapText="1"/>
    </xf>
    <xf numFmtId="0" fontId="7" fillId="5" borderId="30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36" xfId="0" applyBorder="1"/>
    <xf numFmtId="0" fontId="0" fillId="0" borderId="37" xfId="0" applyBorder="1"/>
    <xf numFmtId="0" fontId="7" fillId="7" borderId="6" xfId="0" applyFont="1" applyFill="1" applyBorder="1" applyAlignment="1">
      <alignment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5" fillId="8" borderId="23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17" fillId="9" borderId="24" xfId="0" applyFont="1" applyFill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 wrapText="1"/>
    </xf>
    <xf numFmtId="0" fontId="15" fillId="6" borderId="23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Section Cost / </a:t>
            </a:r>
            <a:r>
              <a:rPr lang="fa-IR"/>
              <a:t>سهم هزینه بخش‌ها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'09 | Cost Summary'!$B$5</c:f>
              <c:strCache>
                <c:ptCount val="1"/>
                <c:pt idx="0">
                  <c:v>جمع / Total (Toman)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 | Cost Summary'!$A$6:$A$14</c:f>
              <c:strCache>
                <c:ptCount val="9"/>
                <c:pt idx="0">
                  <c:v>01–02 | آماده‌سازی و زیرسازی</c:v>
                </c:pt>
                <c:pt idx="1">
                  <c:v>03 | کف‌سازی و محوطه سخت</c:v>
                </c:pt>
                <c:pt idx="2">
                  <c:v>04 | پاویون</c:v>
                </c:pt>
                <c:pt idx="3">
                  <c:v>05–06 | تراس و آب</c:v>
                </c:pt>
                <c:pt idx="4">
                  <c:v>07 | آبیاری</c:v>
                </c:pt>
                <c:pt idx="5">
                  <c:v>08 | کاشت و چمن</c:v>
                </c:pt>
                <c:pt idx="6">
                  <c:v>09 | باغ سبزی</c:v>
                </c:pt>
                <c:pt idx="7">
                  <c:v>10 | نورپردازی</c:v>
                </c:pt>
                <c:pt idx="8">
                  <c:v>12 | کنترل کیفیت</c:v>
                </c:pt>
              </c:strCache>
            </c:strRef>
          </c:cat>
          <c:val>
            <c:numRef>
              <c:f>'09 | Cost Summary'!$B$6:$B$14</c:f>
              <c:numCache>
                <c:formatCode>#,##0</c:formatCode>
                <c:ptCount val="9"/>
                <c:pt idx="0">
                  <c:v>77950000</c:v>
                </c:pt>
                <c:pt idx="1">
                  <c:v>169200000</c:v>
                </c:pt>
                <c:pt idx="2">
                  <c:v>746400000</c:v>
                </c:pt>
                <c:pt idx="3">
                  <c:v>231000000</c:v>
                </c:pt>
                <c:pt idx="4">
                  <c:v>129050000</c:v>
                </c:pt>
                <c:pt idx="5">
                  <c:v>117050000</c:v>
                </c:pt>
                <c:pt idx="6">
                  <c:v>135000000</c:v>
                </c:pt>
                <c:pt idx="7">
                  <c:v>101600000</c:v>
                </c:pt>
                <c:pt idx="8">
                  <c:v>65000000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262240"/>
        <c:axId val="182201560"/>
      </c:barChart>
      <c:catAx>
        <c:axId val="13426224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Toman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82201560"/>
        <c:crosses val="autoZero"/>
        <c:auto val="1"/>
        <c:lblAlgn val="ctr"/>
        <c:lblOffset val="100"/>
        <c:noMultiLvlLbl val="1"/>
      </c:catAx>
      <c:valAx>
        <c:axId val="18220156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Section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134262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Cost Composition / </a:t>
            </a:r>
            <a:r>
              <a:rPr lang="fa-IR"/>
              <a:t>ترکیب هزینه</a:t>
            </a:r>
          </a:p>
        </c:rich>
      </c:tx>
      <c:layout/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'09 | Cost Summary'!$B$5</c:f>
              <c:strCache>
                <c:ptCount val="1"/>
                <c:pt idx="0">
                  <c:v>جمع / Total (Toman)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'09 | Cost Summary'!$A$6:$A$14</c:f>
              <c:strCache>
                <c:ptCount val="9"/>
                <c:pt idx="0">
                  <c:v>01–02 | آماده‌سازی و زیرسازی</c:v>
                </c:pt>
                <c:pt idx="1">
                  <c:v>03 | کف‌سازی و محوطه سخت</c:v>
                </c:pt>
                <c:pt idx="2">
                  <c:v>04 | پاویون</c:v>
                </c:pt>
                <c:pt idx="3">
                  <c:v>05–06 | تراس و آب</c:v>
                </c:pt>
                <c:pt idx="4">
                  <c:v>07 | آبیاری</c:v>
                </c:pt>
                <c:pt idx="5">
                  <c:v>08 | کاشت و چمن</c:v>
                </c:pt>
                <c:pt idx="6">
                  <c:v>09 | باغ سبزی</c:v>
                </c:pt>
                <c:pt idx="7">
                  <c:v>10 | نورپردازی</c:v>
                </c:pt>
                <c:pt idx="8">
                  <c:v>12 | کنترل کیفیت</c:v>
                </c:pt>
              </c:strCache>
            </c:strRef>
          </c:cat>
          <c:val>
            <c:numRef>
              <c:f>'09 | Cost Summary'!$B$6:$B$14</c:f>
              <c:numCache>
                <c:formatCode>#,##0</c:formatCode>
                <c:ptCount val="9"/>
                <c:pt idx="0">
                  <c:v>77950000</c:v>
                </c:pt>
                <c:pt idx="1">
                  <c:v>169200000</c:v>
                </c:pt>
                <c:pt idx="2">
                  <c:v>746400000</c:v>
                </c:pt>
                <c:pt idx="3">
                  <c:v>231000000</c:v>
                </c:pt>
                <c:pt idx="4">
                  <c:v>129050000</c:v>
                </c:pt>
                <c:pt idx="5">
                  <c:v>117050000</c:v>
                </c:pt>
                <c:pt idx="6">
                  <c:v>135000000</c:v>
                </c:pt>
                <c:pt idx="7">
                  <c:v>101600000</c:v>
                </c:pt>
                <c:pt idx="8">
                  <c:v>65000000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504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360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showGridLines="0" rightToLeft="1" topLeftCell="A10" workbookViewId="0">
      <selection activeCell="E14" sqref="E14"/>
    </sheetView>
  </sheetViews>
  <sheetFormatPr defaultRowHeight="14.25"/>
  <cols>
    <col min="1" max="8" width="14" customWidth="1"/>
  </cols>
  <sheetData>
    <row r="1" spans="1:8" ht="24" customHeight="1">
      <c r="A1" s="101" t="s">
        <v>0</v>
      </c>
      <c r="B1" s="83"/>
      <c r="C1" s="83"/>
      <c r="D1" s="83"/>
      <c r="E1" s="83"/>
      <c r="F1" s="83"/>
      <c r="G1" s="83"/>
      <c r="H1" s="83"/>
    </row>
    <row r="2" spans="1:8" ht="24" customHeight="1">
      <c r="A2" s="83"/>
      <c r="B2" s="83"/>
      <c r="C2" s="83"/>
      <c r="D2" s="83"/>
      <c r="E2" s="83"/>
      <c r="F2" s="83"/>
      <c r="G2" s="83"/>
      <c r="H2" s="83"/>
    </row>
    <row r="3" spans="1:8" ht="24" customHeight="1">
      <c r="A3" s="82" t="s">
        <v>1</v>
      </c>
      <c r="B3" s="83"/>
      <c r="C3" s="83"/>
      <c r="D3" s="83"/>
      <c r="E3" s="83"/>
      <c r="F3" s="83"/>
      <c r="G3" s="83"/>
      <c r="H3" s="83"/>
    </row>
    <row r="4" spans="1:8" ht="5.0999999999999996" customHeight="1">
      <c r="A4" s="2"/>
      <c r="B4" s="2"/>
      <c r="C4" s="2"/>
      <c r="D4" s="2"/>
      <c r="E4" s="2"/>
      <c r="F4" s="2"/>
      <c r="G4" s="2"/>
      <c r="H4" s="2"/>
    </row>
    <row r="5" spans="1:8" ht="24" customHeight="1">
      <c r="A5" s="94" t="s">
        <v>2</v>
      </c>
      <c r="B5" s="83"/>
      <c r="C5" s="83"/>
      <c r="D5" s="83"/>
      <c r="E5" s="83"/>
      <c r="F5" s="83"/>
      <c r="G5" s="83"/>
      <c r="H5" s="83"/>
    </row>
    <row r="6" spans="1:8" ht="24" customHeight="1">
      <c r="A6" s="83"/>
      <c r="B6" s="83"/>
      <c r="C6" s="83"/>
      <c r="D6" s="83"/>
      <c r="E6" s="83"/>
      <c r="F6" s="83"/>
      <c r="G6" s="83"/>
      <c r="H6" s="83"/>
    </row>
    <row r="7" spans="1:8" ht="24" customHeight="1">
      <c r="A7" s="83"/>
      <c r="B7" s="83"/>
      <c r="C7" s="83"/>
      <c r="D7" s="83"/>
      <c r="E7" s="83"/>
      <c r="F7" s="83"/>
      <c r="G7" s="83"/>
      <c r="H7" s="83"/>
    </row>
    <row r="8" spans="1:8" ht="24" customHeight="1">
      <c r="A8" s="84" t="s">
        <v>3</v>
      </c>
      <c r="B8" s="83"/>
      <c r="C8" s="83"/>
      <c r="D8" s="83"/>
      <c r="E8" s="83"/>
      <c r="F8" s="83"/>
      <c r="G8" s="83"/>
      <c r="H8" s="83"/>
    </row>
    <row r="9" spans="1:8" ht="24" customHeight="1">
      <c r="A9" s="83"/>
      <c r="B9" s="83"/>
      <c r="C9" s="83"/>
      <c r="D9" s="83"/>
      <c r="E9" s="83"/>
      <c r="F9" s="83"/>
      <c r="G9" s="83"/>
      <c r="H9" s="83"/>
    </row>
    <row r="10" spans="1:8" ht="24" customHeight="1">
      <c r="A10" s="3"/>
      <c r="B10" s="3"/>
      <c r="C10" s="3"/>
      <c r="D10" s="3"/>
      <c r="E10" s="3"/>
      <c r="F10" s="3"/>
      <c r="G10" s="3"/>
      <c r="H10" s="3"/>
    </row>
    <row r="11" spans="1:8" ht="24" customHeight="1">
      <c r="A11" s="85" t="s">
        <v>4</v>
      </c>
      <c r="B11" s="86"/>
      <c r="C11" s="86"/>
      <c r="D11" s="86"/>
      <c r="E11" s="86"/>
      <c r="F11" s="86"/>
      <c r="G11" s="86"/>
      <c r="H11" s="87"/>
    </row>
    <row r="12" spans="1:8" ht="24" customHeight="1">
      <c r="A12" s="88"/>
      <c r="B12" s="89"/>
      <c r="C12" s="89"/>
      <c r="D12" s="89"/>
      <c r="E12" s="89"/>
      <c r="F12" s="89"/>
      <c r="G12" s="89"/>
      <c r="H12" s="90"/>
    </row>
    <row r="13" spans="1:8" ht="24" customHeight="1">
      <c r="A13" s="91"/>
      <c r="B13" s="92"/>
      <c r="C13" s="92"/>
      <c r="D13" s="92"/>
      <c r="E13" s="92"/>
      <c r="F13" s="92"/>
      <c r="G13" s="92"/>
      <c r="H13" s="93"/>
    </row>
    <row r="14" spans="1:8" ht="24" customHeight="1">
      <c r="A14" s="3"/>
      <c r="B14" s="3"/>
      <c r="C14" s="3"/>
      <c r="D14" s="3"/>
      <c r="E14" s="3"/>
      <c r="F14" s="3"/>
      <c r="G14" s="3"/>
      <c r="H14" s="3"/>
    </row>
    <row r="15" spans="1:8" ht="24" customHeight="1">
      <c r="A15" s="95" t="s">
        <v>5</v>
      </c>
      <c r="B15" s="96"/>
      <c r="C15" s="96"/>
      <c r="D15" s="97"/>
      <c r="E15" s="95" t="s">
        <v>396</v>
      </c>
      <c r="F15" s="96"/>
      <c r="G15" s="96"/>
      <c r="H15" s="97"/>
    </row>
    <row r="16" spans="1:8" ht="24" customHeight="1">
      <c r="A16" s="98"/>
      <c r="B16" s="99"/>
      <c r="C16" s="99"/>
      <c r="D16" s="100"/>
      <c r="E16" s="98"/>
      <c r="F16" s="99"/>
      <c r="G16" s="99"/>
      <c r="H16" s="100"/>
    </row>
    <row r="17" spans="1:8" ht="24" customHeight="1">
      <c r="A17" s="3"/>
      <c r="B17" s="3"/>
      <c r="C17" s="3"/>
      <c r="D17" s="3"/>
      <c r="E17" s="3"/>
      <c r="F17" s="3"/>
      <c r="G17" s="3"/>
      <c r="H17" s="3"/>
    </row>
    <row r="18" spans="1:8" ht="24" customHeight="1"/>
    <row r="19" spans="1:8" ht="24" customHeight="1"/>
  </sheetData>
  <mergeCells count="7">
    <mergeCell ref="A1:H2"/>
    <mergeCell ref="A3:H3"/>
    <mergeCell ref="A8:H9"/>
    <mergeCell ref="A11:H13"/>
    <mergeCell ref="A5:H7"/>
    <mergeCell ref="A15:D16"/>
    <mergeCell ref="E15:H16"/>
  </mergeCells>
  <printOptions horizontalCentered="1"/>
  <pageMargins left="0.28000000000000003" right="0.28000000000000003" top="0.55000000000000004" bottom="0.45" header="0.25" footer="0.25"/>
  <pageSetup paperSize="9" orientation="portrait" r:id="rId1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showGridLines="0" rightToLeft="1" tabSelected="1" workbookViewId="0">
      <selection activeCell="A2" sqref="A2:H2"/>
    </sheetView>
  </sheetViews>
  <sheetFormatPr defaultRowHeight="14.25"/>
  <cols>
    <col min="1" max="8" width="18" customWidth="1"/>
  </cols>
  <sheetData>
    <row r="1" spans="1:8" ht="24.95" customHeight="1">
      <c r="A1" s="4" t="s">
        <v>0</v>
      </c>
      <c r="B1" s="5"/>
      <c r="C1" s="5"/>
      <c r="D1" s="5"/>
      <c r="E1" s="5"/>
      <c r="F1" s="5"/>
      <c r="G1" s="5"/>
      <c r="H1" s="6" t="s">
        <v>6</v>
      </c>
    </row>
    <row r="2" spans="1:8" ht="30" customHeight="1">
      <c r="A2" s="105" t="s">
        <v>7</v>
      </c>
      <c r="B2" s="83"/>
      <c r="C2" s="83"/>
      <c r="D2" s="83"/>
      <c r="E2" s="83"/>
      <c r="F2" s="83"/>
      <c r="G2" s="83"/>
      <c r="H2" s="83"/>
    </row>
    <row r="3" spans="1:8" ht="23.1" customHeight="1">
      <c r="A3" s="104" t="s">
        <v>8</v>
      </c>
      <c r="B3" s="83"/>
      <c r="C3" s="83"/>
      <c r="D3" s="83"/>
      <c r="E3" s="83"/>
      <c r="F3" s="83"/>
      <c r="G3" s="83"/>
      <c r="H3" s="83"/>
    </row>
    <row r="4" spans="1:8" ht="18.95" customHeight="1">
      <c r="A4" s="102" t="s">
        <v>9</v>
      </c>
      <c r="B4" s="103"/>
      <c r="C4" s="103"/>
      <c r="D4" s="103"/>
      <c r="E4" s="103"/>
      <c r="F4" s="103"/>
      <c r="G4" s="103"/>
      <c r="H4" s="103"/>
    </row>
    <row r="5" spans="1:8" ht="33.950000000000003" customHeight="1">
      <c r="A5" s="7" t="s">
        <v>10</v>
      </c>
      <c r="B5" s="8" t="s">
        <v>11</v>
      </c>
      <c r="C5" s="8" t="s">
        <v>10</v>
      </c>
      <c r="D5" s="8" t="s">
        <v>11</v>
      </c>
      <c r="E5" s="8" t="s">
        <v>10</v>
      </c>
      <c r="F5" s="8" t="s">
        <v>11</v>
      </c>
      <c r="G5" s="8" t="s">
        <v>10</v>
      </c>
      <c r="H5" s="9" t="s">
        <v>11</v>
      </c>
    </row>
    <row r="6" spans="1:8" ht="42" customHeight="1">
      <c r="A6" s="10" t="s">
        <v>12</v>
      </c>
      <c r="B6" s="11" t="s">
        <v>13</v>
      </c>
      <c r="C6" s="12" t="s">
        <v>14</v>
      </c>
      <c r="D6" s="11" t="s">
        <v>15</v>
      </c>
      <c r="E6" s="12" t="s">
        <v>16</v>
      </c>
      <c r="F6" s="11" t="s">
        <v>17</v>
      </c>
      <c r="G6" s="12" t="s">
        <v>18</v>
      </c>
      <c r="H6" s="13" t="s">
        <v>19</v>
      </c>
    </row>
    <row r="7" spans="1:8" ht="42" customHeight="1">
      <c r="A7" s="14" t="s">
        <v>20</v>
      </c>
      <c r="B7" s="15" t="s">
        <v>21</v>
      </c>
      <c r="C7" s="16" t="s">
        <v>22</v>
      </c>
      <c r="D7" s="15" t="s">
        <v>23</v>
      </c>
      <c r="E7" s="16" t="s">
        <v>24</v>
      </c>
      <c r="F7" s="15" t="s">
        <v>25</v>
      </c>
      <c r="G7" s="16" t="s">
        <v>26</v>
      </c>
      <c r="H7" s="17" t="s">
        <v>27</v>
      </c>
    </row>
    <row r="8" spans="1:8" ht="42" customHeight="1">
      <c r="A8" s="10" t="s">
        <v>28</v>
      </c>
      <c r="B8" s="11" t="s">
        <v>29</v>
      </c>
      <c r="C8" s="12" t="s">
        <v>30</v>
      </c>
      <c r="D8" s="11" t="s">
        <v>31</v>
      </c>
      <c r="E8" s="12" t="s">
        <v>32</v>
      </c>
      <c r="F8" s="11" t="s">
        <v>33</v>
      </c>
      <c r="G8" s="12" t="s">
        <v>34</v>
      </c>
      <c r="H8" s="13" t="s">
        <v>0</v>
      </c>
    </row>
    <row r="9" spans="1:8">
      <c r="A9" s="18"/>
      <c r="B9" s="19"/>
      <c r="C9" s="19"/>
      <c r="D9" s="19"/>
      <c r="E9" s="19"/>
      <c r="F9" s="19"/>
      <c r="G9" s="19"/>
      <c r="H9" s="20"/>
    </row>
    <row r="10" spans="1:8">
      <c r="A10" s="18"/>
      <c r="B10" s="19"/>
      <c r="C10" s="19"/>
      <c r="D10" s="19"/>
      <c r="E10" s="19"/>
      <c r="F10" s="19"/>
      <c r="G10" s="19"/>
      <c r="H10" s="20"/>
    </row>
    <row r="11" spans="1:8">
      <c r="A11" s="106" t="s">
        <v>35</v>
      </c>
      <c r="B11" s="107"/>
      <c r="C11" s="107"/>
      <c r="D11" s="107"/>
      <c r="E11" s="107"/>
      <c r="F11" s="107"/>
      <c r="G11" s="107"/>
      <c r="H11" s="108"/>
    </row>
    <row r="12" spans="1:8">
      <c r="A12" s="109"/>
      <c r="B12" s="107"/>
      <c r="C12" s="107"/>
      <c r="D12" s="107"/>
      <c r="E12" s="107"/>
      <c r="F12" s="107"/>
      <c r="G12" s="107"/>
      <c r="H12" s="108"/>
    </row>
    <row r="13" spans="1:8">
      <c r="A13" s="109"/>
      <c r="B13" s="107"/>
      <c r="C13" s="107"/>
      <c r="D13" s="107"/>
      <c r="E13" s="107"/>
      <c r="F13" s="107"/>
      <c r="G13" s="107"/>
      <c r="H13" s="108"/>
    </row>
    <row r="14" spans="1:8">
      <c r="A14" s="110"/>
      <c r="B14" s="111"/>
      <c r="C14" s="111"/>
      <c r="D14" s="111"/>
      <c r="E14" s="111"/>
      <c r="F14" s="111"/>
      <c r="G14" s="111"/>
      <c r="H14" s="112"/>
    </row>
  </sheetData>
  <mergeCells count="4">
    <mergeCell ref="A4:H4"/>
    <mergeCell ref="A3:H3"/>
    <mergeCell ref="A2:H2"/>
    <mergeCell ref="A11:H14"/>
  </mergeCells>
  <printOptions horizontalCentered="1"/>
  <pageMargins left="0.28000000000000003" right="0.28000000000000003" top="0.55000000000000004" bottom="0.45" header="0.25" footer="0.25"/>
  <pageSetup paperSize="9" scale="90" fitToHeight="0" orientation="landscape" r:id="rId1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showGridLines="0" rightToLeft="1" topLeftCell="A7" workbookViewId="0">
      <selection sqref="A1:H2"/>
    </sheetView>
  </sheetViews>
  <sheetFormatPr defaultRowHeight="14.25"/>
  <cols>
    <col min="1" max="1" width="8" customWidth="1"/>
    <col min="2" max="2" width="22" customWidth="1"/>
    <col min="3" max="3" width="30" customWidth="1"/>
    <col min="4" max="4" width="24" customWidth="1"/>
    <col min="5" max="8" width="18" customWidth="1"/>
  </cols>
  <sheetData>
    <row r="1" spans="1:8" ht="24.95" customHeight="1">
      <c r="A1" s="4" t="s">
        <v>0</v>
      </c>
      <c r="B1" s="5"/>
      <c r="C1" s="5"/>
      <c r="D1" s="5"/>
      <c r="E1" s="5"/>
      <c r="F1" s="5"/>
      <c r="G1" s="5"/>
      <c r="H1" s="6" t="s">
        <v>6</v>
      </c>
    </row>
    <row r="2" spans="1:8" ht="30" customHeight="1">
      <c r="A2" s="105" t="s">
        <v>36</v>
      </c>
      <c r="B2" s="83"/>
      <c r="C2" s="83"/>
      <c r="D2" s="83"/>
      <c r="E2" s="83"/>
      <c r="F2" s="83"/>
      <c r="G2" s="83"/>
      <c r="H2" s="83"/>
    </row>
    <row r="3" spans="1:8" ht="23.1" customHeight="1">
      <c r="A3" s="104" t="s">
        <v>37</v>
      </c>
      <c r="B3" s="83"/>
      <c r="C3" s="83"/>
      <c r="D3" s="83"/>
      <c r="E3" s="83"/>
      <c r="F3" s="83"/>
      <c r="G3" s="83"/>
      <c r="H3" s="83"/>
    </row>
    <row r="4" spans="1:8" ht="18.95" customHeight="1">
      <c r="A4" s="102" t="s">
        <v>38</v>
      </c>
      <c r="B4" s="103"/>
      <c r="C4" s="103"/>
      <c r="D4" s="103"/>
      <c r="E4" s="103"/>
      <c r="F4" s="103"/>
      <c r="G4" s="103"/>
      <c r="H4" s="103"/>
    </row>
    <row r="5" spans="1:8" ht="33.950000000000003" customHeight="1">
      <c r="A5" s="7" t="s">
        <v>39</v>
      </c>
      <c r="B5" s="8" t="s">
        <v>40</v>
      </c>
      <c r="C5" s="8" t="s">
        <v>10</v>
      </c>
      <c r="D5" s="8" t="s">
        <v>41</v>
      </c>
      <c r="E5" s="23"/>
      <c r="F5" s="23"/>
      <c r="G5" s="23"/>
      <c r="H5" s="24"/>
    </row>
    <row r="6" spans="1:8" ht="75.95" customHeight="1">
      <c r="A6" s="25" t="s">
        <v>27</v>
      </c>
      <c r="B6" s="26" t="s">
        <v>42</v>
      </c>
      <c r="C6" s="27" t="s">
        <v>43</v>
      </c>
      <c r="D6" s="116" t="s">
        <v>44</v>
      </c>
      <c r="E6" s="117"/>
      <c r="F6" s="117"/>
      <c r="G6" s="117"/>
      <c r="H6" s="118"/>
    </row>
    <row r="7" spans="1:8" ht="75.95" customHeight="1">
      <c r="A7" s="28" t="s">
        <v>45</v>
      </c>
      <c r="B7" s="29" t="s">
        <v>46</v>
      </c>
      <c r="C7" s="30" t="s">
        <v>47</v>
      </c>
      <c r="D7" s="113" t="s">
        <v>48</v>
      </c>
      <c r="E7" s="114"/>
      <c r="F7" s="114"/>
      <c r="G7" s="114"/>
      <c r="H7" s="115"/>
    </row>
    <row r="8" spans="1:8" ht="75.95" customHeight="1">
      <c r="A8" s="25" t="s">
        <v>49</v>
      </c>
      <c r="B8" s="26" t="s">
        <v>50</v>
      </c>
      <c r="C8" s="27" t="s">
        <v>51</v>
      </c>
      <c r="D8" s="116" t="s">
        <v>52</v>
      </c>
      <c r="E8" s="117"/>
      <c r="F8" s="117"/>
      <c r="G8" s="117"/>
      <c r="H8" s="118"/>
    </row>
    <row r="9" spans="1:8" ht="75.95" customHeight="1">
      <c r="A9" s="28" t="s">
        <v>53</v>
      </c>
      <c r="B9" s="29" t="s">
        <v>54</v>
      </c>
      <c r="C9" s="30" t="s">
        <v>55</v>
      </c>
      <c r="D9" s="113" t="s">
        <v>56</v>
      </c>
      <c r="E9" s="114"/>
      <c r="F9" s="114"/>
      <c r="G9" s="114"/>
      <c r="H9" s="115"/>
    </row>
    <row r="10" spans="1:8" ht="75.95" customHeight="1">
      <c r="A10" s="33" t="s">
        <v>57</v>
      </c>
      <c r="B10" s="34" t="s">
        <v>58</v>
      </c>
      <c r="C10" s="35" t="s">
        <v>59</v>
      </c>
      <c r="D10" s="119" t="s">
        <v>60</v>
      </c>
      <c r="E10" s="120"/>
      <c r="F10" s="120"/>
      <c r="G10" s="120"/>
      <c r="H10" s="121"/>
    </row>
  </sheetData>
  <mergeCells count="8">
    <mergeCell ref="D10:H10"/>
    <mergeCell ref="A2:H2"/>
    <mergeCell ref="D9:H9"/>
    <mergeCell ref="A4:H4"/>
    <mergeCell ref="D7:H7"/>
    <mergeCell ref="A3:H3"/>
    <mergeCell ref="D8:H8"/>
    <mergeCell ref="D6:H6"/>
  </mergeCells>
  <printOptions horizontalCentered="1"/>
  <pageMargins left="0.28000000000000003" right="0.28000000000000003" top="0.55000000000000004" bottom="0.45" header="0.25" footer="0.25"/>
  <pageSetup paperSize="9" fitToHeight="0" orientation="landscape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showGridLines="0" rightToLeft="1" workbookViewId="0">
      <selection sqref="A1:H2"/>
    </sheetView>
  </sheetViews>
  <sheetFormatPr defaultRowHeight="14.25"/>
  <cols>
    <col min="1" max="1" width="10" customWidth="1"/>
    <col min="2" max="2" width="22" customWidth="1"/>
    <col min="3" max="3" width="24" customWidth="1"/>
    <col min="4" max="4" width="18" customWidth="1"/>
    <col min="5" max="6" width="12" customWidth="1"/>
    <col min="7" max="7" width="20" customWidth="1"/>
    <col min="8" max="8" width="35" customWidth="1"/>
  </cols>
  <sheetData>
    <row r="1" spans="1:8" ht="24.95" customHeight="1">
      <c r="A1" s="4" t="s">
        <v>0</v>
      </c>
      <c r="B1" s="5"/>
      <c r="C1" s="5"/>
      <c r="D1" s="5"/>
      <c r="E1" s="5"/>
      <c r="F1" s="5"/>
      <c r="G1" s="5"/>
      <c r="H1" s="6" t="s">
        <v>6</v>
      </c>
    </row>
    <row r="2" spans="1:8" ht="30" customHeight="1">
      <c r="A2" s="105" t="s">
        <v>61</v>
      </c>
      <c r="B2" s="83"/>
      <c r="C2" s="83"/>
      <c r="D2" s="83"/>
      <c r="E2" s="83"/>
      <c r="F2" s="83"/>
      <c r="G2" s="83"/>
      <c r="H2" s="83"/>
    </row>
    <row r="3" spans="1:8" ht="23.1" customHeight="1">
      <c r="A3" s="104" t="s">
        <v>62</v>
      </c>
      <c r="B3" s="83"/>
      <c r="C3" s="83"/>
      <c r="D3" s="83"/>
      <c r="E3" s="83"/>
      <c r="F3" s="83"/>
      <c r="G3" s="83"/>
      <c r="H3" s="83"/>
    </row>
    <row r="4" spans="1:8" ht="18.95" customHeight="1">
      <c r="A4" s="102" t="s">
        <v>63</v>
      </c>
      <c r="B4" s="103"/>
      <c r="C4" s="103"/>
      <c r="D4" s="103"/>
      <c r="E4" s="103"/>
      <c r="F4" s="103"/>
      <c r="G4" s="103"/>
      <c r="H4" s="103"/>
    </row>
    <row r="5" spans="1:8" ht="33.950000000000003" customHeight="1">
      <c r="A5" s="7" t="s">
        <v>64</v>
      </c>
      <c r="B5" s="8" t="s">
        <v>40</v>
      </c>
      <c r="C5" s="8" t="s">
        <v>65</v>
      </c>
      <c r="D5" s="8" t="s">
        <v>66</v>
      </c>
      <c r="E5" s="8" t="s">
        <v>67</v>
      </c>
      <c r="F5" s="8" t="s">
        <v>68</v>
      </c>
      <c r="G5" s="8" t="s">
        <v>69</v>
      </c>
      <c r="H5" s="9" t="s">
        <v>70</v>
      </c>
    </row>
    <row r="6" spans="1:8" ht="38.1" customHeight="1">
      <c r="A6" s="10" t="s">
        <v>71</v>
      </c>
      <c r="B6" s="11" t="s">
        <v>16</v>
      </c>
      <c r="C6" s="11" t="s">
        <v>72</v>
      </c>
      <c r="D6" s="11" t="s">
        <v>73</v>
      </c>
      <c r="E6" s="11" t="s">
        <v>74</v>
      </c>
      <c r="F6" s="11" t="s">
        <v>75</v>
      </c>
      <c r="G6" s="11" t="s">
        <v>76</v>
      </c>
      <c r="H6" s="13" t="s">
        <v>77</v>
      </c>
    </row>
    <row r="7" spans="1:8" ht="38.1" customHeight="1">
      <c r="A7" s="14" t="s">
        <v>78</v>
      </c>
      <c r="B7" s="15" t="s">
        <v>79</v>
      </c>
      <c r="C7" s="15" t="s">
        <v>80</v>
      </c>
      <c r="D7" s="15" t="s">
        <v>81</v>
      </c>
      <c r="E7" s="15" t="s">
        <v>74</v>
      </c>
      <c r="F7" s="15" t="s">
        <v>82</v>
      </c>
      <c r="G7" s="15" t="s">
        <v>83</v>
      </c>
      <c r="H7" s="17" t="s">
        <v>84</v>
      </c>
    </row>
    <row r="8" spans="1:8" ht="38.1" customHeight="1">
      <c r="A8" s="10" t="s">
        <v>85</v>
      </c>
      <c r="B8" s="11" t="s">
        <v>86</v>
      </c>
      <c r="C8" s="11" t="s">
        <v>87</v>
      </c>
      <c r="D8" s="11" t="s">
        <v>81</v>
      </c>
      <c r="E8" s="11" t="s">
        <v>74</v>
      </c>
      <c r="F8" s="11" t="s">
        <v>88</v>
      </c>
      <c r="G8" s="11" t="s">
        <v>83</v>
      </c>
      <c r="H8" s="13" t="s">
        <v>89</v>
      </c>
    </row>
    <row r="9" spans="1:8" ht="38.1" customHeight="1">
      <c r="A9" s="14" t="s">
        <v>90</v>
      </c>
      <c r="B9" s="15" t="s">
        <v>91</v>
      </c>
      <c r="C9" s="15" t="s">
        <v>92</v>
      </c>
      <c r="D9" s="15" t="s">
        <v>81</v>
      </c>
      <c r="E9" s="15" t="s">
        <v>74</v>
      </c>
      <c r="F9" s="15" t="s">
        <v>93</v>
      </c>
      <c r="G9" s="15" t="s">
        <v>83</v>
      </c>
      <c r="H9" s="17" t="s">
        <v>94</v>
      </c>
    </row>
    <row r="10" spans="1:8" ht="38.1" customHeight="1">
      <c r="A10" s="10" t="s">
        <v>95</v>
      </c>
      <c r="B10" s="11" t="s">
        <v>96</v>
      </c>
      <c r="C10" s="11" t="s">
        <v>97</v>
      </c>
      <c r="D10" s="11" t="s">
        <v>81</v>
      </c>
      <c r="E10" s="11" t="s">
        <v>74</v>
      </c>
      <c r="F10" s="11" t="s">
        <v>98</v>
      </c>
      <c r="G10" s="11" t="s">
        <v>99</v>
      </c>
      <c r="H10" s="13" t="s">
        <v>100</v>
      </c>
    </row>
    <row r="11" spans="1:8" ht="38.1" customHeight="1">
      <c r="A11" s="14" t="s">
        <v>101</v>
      </c>
      <c r="B11" s="15" t="s">
        <v>102</v>
      </c>
      <c r="C11" s="15" t="s">
        <v>103</v>
      </c>
      <c r="D11" s="15" t="s">
        <v>104</v>
      </c>
      <c r="E11" s="15" t="s">
        <v>13</v>
      </c>
      <c r="F11" s="15" t="s">
        <v>13</v>
      </c>
      <c r="G11" s="15" t="s">
        <v>105</v>
      </c>
      <c r="H11" s="17" t="s">
        <v>106</v>
      </c>
    </row>
    <row r="12" spans="1:8" ht="38.1" customHeight="1">
      <c r="A12" s="36" t="s">
        <v>107</v>
      </c>
      <c r="B12" s="37" t="s">
        <v>108</v>
      </c>
      <c r="C12" s="37" t="s">
        <v>109</v>
      </c>
      <c r="D12" s="37" t="s">
        <v>104</v>
      </c>
      <c r="E12" s="37" t="s">
        <v>13</v>
      </c>
      <c r="F12" s="37" t="s">
        <v>13</v>
      </c>
      <c r="G12" s="37" t="s">
        <v>110</v>
      </c>
      <c r="H12" s="38" t="s">
        <v>111</v>
      </c>
    </row>
  </sheetData>
  <mergeCells count="3">
    <mergeCell ref="A4:H4"/>
    <mergeCell ref="A3:H3"/>
    <mergeCell ref="A2:H2"/>
  </mergeCells>
  <printOptions horizontalCentered="1"/>
  <pageMargins left="0.28000000000000003" right="0.28000000000000003" top="0.55000000000000004" bottom="0.45" header="0.25" footer="0.25"/>
  <pageSetup paperSize="9" fitToHeight="0" orientation="landscape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showGridLines="0" rightToLeft="1" workbookViewId="0">
      <pane ySplit="5" topLeftCell="A12" activePane="bottomLeft" state="frozen"/>
      <selection sqref="A1:H2"/>
      <selection pane="bottomLeft" sqref="A1:H2"/>
    </sheetView>
  </sheetViews>
  <sheetFormatPr defaultRowHeight="14.25"/>
  <cols>
    <col min="1" max="1" width="11" customWidth="1"/>
    <col min="2" max="2" width="24" customWidth="1"/>
    <col min="3" max="3" width="45" customWidth="1"/>
    <col min="4" max="5" width="12" customWidth="1"/>
    <col min="6" max="7" width="19" customWidth="1"/>
    <col min="8" max="8" width="48" customWidth="1"/>
  </cols>
  <sheetData>
    <row r="1" spans="1:8" ht="24.95" customHeight="1">
      <c r="A1" s="4" t="s">
        <v>0</v>
      </c>
      <c r="B1" s="5"/>
      <c r="C1" s="5"/>
      <c r="D1" s="5"/>
      <c r="E1" s="5"/>
      <c r="F1" s="5"/>
      <c r="G1" s="5"/>
      <c r="H1" s="6" t="s">
        <v>6</v>
      </c>
    </row>
    <row r="2" spans="1:8" ht="30" customHeight="1">
      <c r="A2" s="105" t="s">
        <v>112</v>
      </c>
      <c r="B2" s="83"/>
      <c r="C2" s="83"/>
      <c r="D2" s="83"/>
      <c r="E2" s="83"/>
      <c r="F2" s="83"/>
      <c r="G2" s="83"/>
      <c r="H2" s="83"/>
    </row>
    <row r="3" spans="1:8" ht="23.1" customHeight="1">
      <c r="A3" s="104" t="s">
        <v>113</v>
      </c>
      <c r="B3" s="83"/>
      <c r="C3" s="83"/>
      <c r="D3" s="83"/>
      <c r="E3" s="83"/>
      <c r="F3" s="83"/>
      <c r="G3" s="83"/>
      <c r="H3" s="83"/>
    </row>
    <row r="4" spans="1:8" ht="18.95" customHeight="1">
      <c r="A4" s="102" t="s">
        <v>114</v>
      </c>
      <c r="B4" s="103"/>
      <c r="C4" s="103"/>
      <c r="D4" s="103"/>
      <c r="E4" s="103"/>
      <c r="F4" s="103"/>
      <c r="G4" s="103"/>
      <c r="H4" s="103"/>
    </row>
    <row r="5" spans="1:8" ht="33.950000000000003" customHeight="1">
      <c r="A5" s="7" t="s">
        <v>64</v>
      </c>
      <c r="B5" s="8" t="s">
        <v>115</v>
      </c>
      <c r="C5" s="8" t="s">
        <v>116</v>
      </c>
      <c r="D5" s="8" t="s">
        <v>67</v>
      </c>
      <c r="E5" s="8" t="s">
        <v>68</v>
      </c>
      <c r="F5" s="8" t="s">
        <v>117</v>
      </c>
      <c r="G5" s="8" t="s">
        <v>118</v>
      </c>
      <c r="H5" s="9" t="s">
        <v>119</v>
      </c>
    </row>
    <row r="6" spans="1:8" ht="42" customHeight="1">
      <c r="A6" s="39" t="s">
        <v>120</v>
      </c>
      <c r="B6" s="40" t="s">
        <v>121</v>
      </c>
      <c r="C6" s="41" t="s">
        <v>122</v>
      </c>
      <c r="D6" s="41" t="s">
        <v>123</v>
      </c>
      <c r="E6" s="42" t="s">
        <v>124</v>
      </c>
      <c r="F6" s="43">
        <v>35000000</v>
      </c>
      <c r="G6" s="43">
        <f t="shared" ref="G6:G28" si="0">E6*F6</f>
        <v>35000000</v>
      </c>
      <c r="H6" s="44" t="s">
        <v>125</v>
      </c>
    </row>
    <row r="7" spans="1:8" ht="42" customHeight="1">
      <c r="A7" s="39" t="s">
        <v>126</v>
      </c>
      <c r="B7" s="40" t="s">
        <v>127</v>
      </c>
      <c r="C7" s="41" t="s">
        <v>128</v>
      </c>
      <c r="D7" s="41" t="s">
        <v>129</v>
      </c>
      <c r="E7" s="42" t="s">
        <v>130</v>
      </c>
      <c r="F7" s="43">
        <v>450000</v>
      </c>
      <c r="G7" s="43">
        <f t="shared" si="0"/>
        <v>15750000</v>
      </c>
      <c r="H7" s="44" t="s">
        <v>131</v>
      </c>
    </row>
    <row r="8" spans="1:8" ht="42" customHeight="1">
      <c r="A8" s="45" t="s">
        <v>132</v>
      </c>
      <c r="B8" s="11" t="s">
        <v>133</v>
      </c>
      <c r="C8" s="11" t="s">
        <v>134</v>
      </c>
      <c r="D8" s="11" t="s">
        <v>129</v>
      </c>
      <c r="E8" s="46" t="s">
        <v>135</v>
      </c>
      <c r="F8" s="47">
        <v>700000</v>
      </c>
      <c r="G8" s="47">
        <f t="shared" si="0"/>
        <v>19600000</v>
      </c>
      <c r="H8" s="13" t="s">
        <v>136</v>
      </c>
    </row>
    <row r="9" spans="1:8" ht="42" customHeight="1">
      <c r="A9" s="48" t="s">
        <v>137</v>
      </c>
      <c r="B9" s="15" t="s">
        <v>138</v>
      </c>
      <c r="C9" s="15" t="s">
        <v>139</v>
      </c>
      <c r="D9" s="15" t="s">
        <v>129</v>
      </c>
      <c r="E9" s="49" t="s">
        <v>140</v>
      </c>
      <c r="F9" s="50">
        <v>950000</v>
      </c>
      <c r="G9" s="50">
        <f t="shared" si="0"/>
        <v>7600000</v>
      </c>
      <c r="H9" s="17" t="s">
        <v>141</v>
      </c>
    </row>
    <row r="10" spans="1:8" ht="42" customHeight="1">
      <c r="A10" s="39" t="s">
        <v>142</v>
      </c>
      <c r="B10" s="40" t="s">
        <v>143</v>
      </c>
      <c r="C10" s="41" t="s">
        <v>144</v>
      </c>
      <c r="D10" s="41" t="s">
        <v>74</v>
      </c>
      <c r="E10" s="42" t="s">
        <v>145</v>
      </c>
      <c r="F10" s="43">
        <v>3200000</v>
      </c>
      <c r="G10" s="43">
        <f t="shared" si="0"/>
        <v>144000000</v>
      </c>
      <c r="H10" s="44" t="s">
        <v>146</v>
      </c>
    </row>
    <row r="11" spans="1:8" ht="42" customHeight="1">
      <c r="A11" s="48" t="s">
        <v>147</v>
      </c>
      <c r="B11" s="15" t="s">
        <v>148</v>
      </c>
      <c r="C11" s="15" t="s">
        <v>149</v>
      </c>
      <c r="D11" s="15" t="s">
        <v>129</v>
      </c>
      <c r="E11" s="49" t="s">
        <v>135</v>
      </c>
      <c r="F11" s="50">
        <v>900000</v>
      </c>
      <c r="G11" s="50">
        <f t="shared" si="0"/>
        <v>25200000</v>
      </c>
      <c r="H11" s="17" t="s">
        <v>150</v>
      </c>
    </row>
    <row r="12" spans="1:8" ht="42" customHeight="1">
      <c r="A12" s="39" t="s">
        <v>151</v>
      </c>
      <c r="B12" s="40" t="s">
        <v>152</v>
      </c>
      <c r="C12" s="41" t="s">
        <v>153</v>
      </c>
      <c r="D12" s="41" t="s">
        <v>74</v>
      </c>
      <c r="E12" s="42" t="s">
        <v>154</v>
      </c>
      <c r="F12" s="43">
        <v>8500000</v>
      </c>
      <c r="G12" s="43">
        <f t="shared" si="0"/>
        <v>255000000</v>
      </c>
      <c r="H12" s="44" t="s">
        <v>155</v>
      </c>
    </row>
    <row r="13" spans="1:8" ht="42" customHeight="1">
      <c r="A13" s="48" t="s">
        <v>156</v>
      </c>
      <c r="B13" s="15" t="s">
        <v>157</v>
      </c>
      <c r="C13" s="15" t="s">
        <v>158</v>
      </c>
      <c r="D13" s="15" t="s">
        <v>159</v>
      </c>
      <c r="E13" s="49" t="s">
        <v>160</v>
      </c>
      <c r="F13" s="50">
        <v>210000</v>
      </c>
      <c r="G13" s="50">
        <f t="shared" si="0"/>
        <v>252000000</v>
      </c>
      <c r="H13" s="17" t="s">
        <v>161</v>
      </c>
    </row>
    <row r="14" spans="1:8" ht="42" customHeight="1">
      <c r="A14" s="45" t="s">
        <v>162</v>
      </c>
      <c r="B14" s="11" t="s">
        <v>163</v>
      </c>
      <c r="C14" s="11" t="s">
        <v>164</v>
      </c>
      <c r="D14" s="11" t="s">
        <v>74</v>
      </c>
      <c r="E14" s="46" t="s">
        <v>165</v>
      </c>
      <c r="F14" s="47">
        <v>4200000</v>
      </c>
      <c r="G14" s="47">
        <f t="shared" si="0"/>
        <v>134400000</v>
      </c>
      <c r="H14" s="13" t="s">
        <v>166</v>
      </c>
    </row>
    <row r="15" spans="1:8" ht="42" customHeight="1">
      <c r="A15" s="48" t="s">
        <v>167</v>
      </c>
      <c r="B15" s="15" t="s">
        <v>168</v>
      </c>
      <c r="C15" s="15" t="s">
        <v>169</v>
      </c>
      <c r="D15" s="15" t="s">
        <v>74</v>
      </c>
      <c r="E15" s="49" t="s">
        <v>154</v>
      </c>
      <c r="F15" s="50">
        <v>3500000</v>
      </c>
      <c r="G15" s="50">
        <f t="shared" si="0"/>
        <v>105000000</v>
      </c>
      <c r="H15" s="17" t="s">
        <v>170</v>
      </c>
    </row>
    <row r="16" spans="1:8" ht="42" customHeight="1">
      <c r="A16" s="39" t="s">
        <v>171</v>
      </c>
      <c r="B16" s="40" t="s">
        <v>172</v>
      </c>
      <c r="C16" s="41" t="s">
        <v>173</v>
      </c>
      <c r="D16" s="41" t="s">
        <v>74</v>
      </c>
      <c r="E16" s="42" t="s">
        <v>174</v>
      </c>
      <c r="F16" s="43">
        <v>3000000</v>
      </c>
      <c r="G16" s="43">
        <f t="shared" si="0"/>
        <v>66000000</v>
      </c>
      <c r="H16" s="44" t="s">
        <v>175</v>
      </c>
    </row>
    <row r="17" spans="1:8" ht="42" customHeight="1">
      <c r="A17" s="39" t="s">
        <v>176</v>
      </c>
      <c r="B17" s="40" t="s">
        <v>91</v>
      </c>
      <c r="C17" s="41" t="s">
        <v>177</v>
      </c>
      <c r="D17" s="41" t="s">
        <v>178</v>
      </c>
      <c r="E17" s="42" t="s">
        <v>179</v>
      </c>
      <c r="F17" s="43">
        <v>15000000</v>
      </c>
      <c r="G17" s="43">
        <f t="shared" si="0"/>
        <v>165000000</v>
      </c>
      <c r="H17" s="44" t="s">
        <v>180</v>
      </c>
    </row>
    <row r="18" spans="1:8" ht="42" customHeight="1">
      <c r="A18" s="39" t="s">
        <v>181</v>
      </c>
      <c r="B18" s="40" t="s">
        <v>182</v>
      </c>
      <c r="C18" s="41" t="s">
        <v>183</v>
      </c>
      <c r="D18" s="41" t="s">
        <v>74</v>
      </c>
      <c r="E18" s="42" t="s">
        <v>75</v>
      </c>
      <c r="F18" s="43">
        <v>190000</v>
      </c>
      <c r="G18" s="43">
        <f t="shared" si="0"/>
        <v>94050000</v>
      </c>
      <c r="H18" s="44" t="s">
        <v>184</v>
      </c>
    </row>
    <row r="19" spans="1:8" ht="42" customHeight="1">
      <c r="A19" s="48" t="s">
        <v>185</v>
      </c>
      <c r="B19" s="15" t="s">
        <v>186</v>
      </c>
      <c r="C19" s="15" t="s">
        <v>187</v>
      </c>
      <c r="D19" s="15" t="s">
        <v>178</v>
      </c>
      <c r="E19" s="49" t="s">
        <v>188</v>
      </c>
      <c r="F19" s="50">
        <v>100000</v>
      </c>
      <c r="G19" s="50">
        <f t="shared" si="0"/>
        <v>35000000</v>
      </c>
      <c r="H19" s="17" t="s">
        <v>189</v>
      </c>
    </row>
    <row r="20" spans="1:8" ht="42" customHeight="1">
      <c r="A20" s="39" t="s">
        <v>190</v>
      </c>
      <c r="B20" s="40" t="s">
        <v>191</v>
      </c>
      <c r="C20" s="41" t="s">
        <v>192</v>
      </c>
      <c r="D20" s="41" t="s">
        <v>74</v>
      </c>
      <c r="E20" s="42" t="s">
        <v>193</v>
      </c>
      <c r="F20" s="43">
        <v>270000</v>
      </c>
      <c r="G20" s="43">
        <f t="shared" si="0"/>
        <v>37800000</v>
      </c>
      <c r="H20" s="44" t="s">
        <v>194</v>
      </c>
    </row>
    <row r="21" spans="1:8" ht="42" customHeight="1">
      <c r="A21" s="48" t="s">
        <v>195</v>
      </c>
      <c r="B21" s="15" t="s">
        <v>196</v>
      </c>
      <c r="C21" s="15" t="s">
        <v>197</v>
      </c>
      <c r="D21" s="15" t="s">
        <v>198</v>
      </c>
      <c r="E21" s="49" t="s">
        <v>199</v>
      </c>
      <c r="F21" s="50">
        <v>12000000</v>
      </c>
      <c r="G21" s="50">
        <f t="shared" si="0"/>
        <v>24000000</v>
      </c>
      <c r="H21" s="17" t="s">
        <v>200</v>
      </c>
    </row>
    <row r="22" spans="1:8" ht="42" customHeight="1">
      <c r="A22" s="45" t="s">
        <v>201</v>
      </c>
      <c r="B22" s="11" t="s">
        <v>202</v>
      </c>
      <c r="C22" s="11" t="s">
        <v>203</v>
      </c>
      <c r="D22" s="11" t="s">
        <v>198</v>
      </c>
      <c r="E22" s="46" t="s">
        <v>204</v>
      </c>
      <c r="F22" s="47">
        <v>5500000</v>
      </c>
      <c r="G22" s="47">
        <f t="shared" si="0"/>
        <v>22000000</v>
      </c>
      <c r="H22" s="13" t="s">
        <v>205</v>
      </c>
    </row>
    <row r="23" spans="1:8" ht="42" customHeight="1">
      <c r="A23" s="48" t="s">
        <v>206</v>
      </c>
      <c r="B23" s="15" t="s">
        <v>207</v>
      </c>
      <c r="C23" s="15" t="s">
        <v>208</v>
      </c>
      <c r="D23" s="15" t="s">
        <v>198</v>
      </c>
      <c r="E23" s="49" t="s">
        <v>130</v>
      </c>
      <c r="F23" s="50">
        <v>950000</v>
      </c>
      <c r="G23" s="50">
        <f t="shared" si="0"/>
        <v>33250000</v>
      </c>
      <c r="H23" s="17" t="s">
        <v>209</v>
      </c>
    </row>
    <row r="24" spans="1:8" ht="42" customHeight="1">
      <c r="A24" s="39" t="s">
        <v>210</v>
      </c>
      <c r="B24" s="40" t="s">
        <v>211</v>
      </c>
      <c r="C24" s="41" t="s">
        <v>212</v>
      </c>
      <c r="D24" s="41" t="s">
        <v>74</v>
      </c>
      <c r="E24" s="42" t="s">
        <v>213</v>
      </c>
      <c r="F24" s="43">
        <v>1500000</v>
      </c>
      <c r="G24" s="43">
        <f t="shared" si="0"/>
        <v>135000000</v>
      </c>
      <c r="H24" s="44" t="s">
        <v>214</v>
      </c>
    </row>
    <row r="25" spans="1:8" ht="42" customHeight="1">
      <c r="A25" s="39" t="s">
        <v>215</v>
      </c>
      <c r="B25" s="40" t="s">
        <v>216</v>
      </c>
      <c r="C25" s="41" t="s">
        <v>217</v>
      </c>
      <c r="D25" s="41" t="s">
        <v>198</v>
      </c>
      <c r="E25" s="42" t="s">
        <v>218</v>
      </c>
      <c r="F25" s="43">
        <v>4800000</v>
      </c>
      <c r="G25" s="43">
        <f t="shared" si="0"/>
        <v>48000000</v>
      </c>
      <c r="H25" s="44" t="s">
        <v>219</v>
      </c>
    </row>
    <row r="26" spans="1:8" ht="42" customHeight="1">
      <c r="A26" s="45" t="s">
        <v>220</v>
      </c>
      <c r="B26" s="11" t="s">
        <v>221</v>
      </c>
      <c r="C26" s="11" t="s">
        <v>222</v>
      </c>
      <c r="D26" s="11" t="s">
        <v>198</v>
      </c>
      <c r="E26" s="46" t="s">
        <v>140</v>
      </c>
      <c r="F26" s="47">
        <v>5200000</v>
      </c>
      <c r="G26" s="47">
        <f t="shared" si="0"/>
        <v>41600000</v>
      </c>
      <c r="H26" s="13" t="s">
        <v>223</v>
      </c>
    </row>
    <row r="27" spans="1:8" ht="42" customHeight="1">
      <c r="A27" s="48" t="s">
        <v>224</v>
      </c>
      <c r="B27" s="15" t="s">
        <v>225</v>
      </c>
      <c r="C27" s="15" t="s">
        <v>226</v>
      </c>
      <c r="D27" s="15" t="s">
        <v>178</v>
      </c>
      <c r="E27" s="49" t="s">
        <v>218</v>
      </c>
      <c r="F27" s="50">
        <v>1200000</v>
      </c>
      <c r="G27" s="50">
        <f t="shared" si="0"/>
        <v>12000000</v>
      </c>
      <c r="H27" s="17" t="s">
        <v>227</v>
      </c>
    </row>
    <row r="28" spans="1:8" ht="42" customHeight="1">
      <c r="A28" s="39" t="s">
        <v>228</v>
      </c>
      <c r="B28" s="40" t="s">
        <v>229</v>
      </c>
      <c r="C28" s="41" t="s">
        <v>230</v>
      </c>
      <c r="D28" s="41" t="s">
        <v>231</v>
      </c>
      <c r="E28" s="42" t="s">
        <v>124</v>
      </c>
      <c r="F28" s="43">
        <v>65000000</v>
      </c>
      <c r="G28" s="43">
        <f t="shared" si="0"/>
        <v>65000000</v>
      </c>
      <c r="H28" s="44" t="s">
        <v>232</v>
      </c>
    </row>
    <row r="29" spans="1:8">
      <c r="A29" s="18"/>
      <c r="B29" s="19"/>
      <c r="C29" s="19"/>
      <c r="D29" s="19"/>
      <c r="E29" s="19"/>
      <c r="F29" s="51" t="s">
        <v>233</v>
      </c>
      <c r="G29" s="52">
        <f>SUM(G6:G28)</f>
        <v>1772250000</v>
      </c>
      <c r="H29" s="53"/>
    </row>
    <row r="30" spans="1:8">
      <c r="A30" s="18"/>
      <c r="B30" s="19"/>
      <c r="C30" s="19"/>
      <c r="D30" s="19"/>
      <c r="E30" s="19"/>
      <c r="F30" s="54" t="s">
        <v>234</v>
      </c>
      <c r="G30" s="55">
        <f>G29*10%</f>
        <v>177225000</v>
      </c>
      <c r="H30" s="56"/>
    </row>
    <row r="31" spans="1:8">
      <c r="A31" s="21"/>
      <c r="B31" s="22"/>
      <c r="C31" s="22"/>
      <c r="D31" s="22"/>
      <c r="E31" s="22"/>
      <c r="F31" s="57" t="s">
        <v>235</v>
      </c>
      <c r="G31" s="58">
        <f>G29+G30</f>
        <v>1949475000</v>
      </c>
      <c r="H31" s="59"/>
    </row>
  </sheetData>
  <autoFilter ref="A5:H28"/>
  <mergeCells count="3">
    <mergeCell ref="A4:H4"/>
    <mergeCell ref="A3:H3"/>
    <mergeCell ref="A2:H2"/>
  </mergeCells>
  <conditionalFormatting sqref="G6:G28">
    <cfRule type="colorScale" priority="1">
      <colorScale>
        <cfvo type="min"/>
        <cfvo type="percentile" val="50"/>
        <cfvo type="max"/>
        <color rgb="FFE7EFE4"/>
        <color rgb="FFE8DED2"/>
        <color rgb="FFD2B0A0"/>
      </colorScale>
    </cfRule>
  </conditionalFormatting>
  <printOptions horizontalCentered="1"/>
  <pageMargins left="0.28000000000000003" right="0.28000000000000003" top="0.55000000000000004" bottom="0.45" header="0.25" footer="0.25"/>
  <pageSetup paperSize="9" fitToHeight="0" orientation="landscape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showGridLines="0" rightToLeft="1" topLeftCell="A4" workbookViewId="0">
      <selection sqref="A1:B1"/>
    </sheetView>
  </sheetViews>
  <sheetFormatPr defaultRowHeight="14.25"/>
  <cols>
    <col min="1" max="1" width="10" customWidth="1"/>
    <col min="2" max="2" width="25" customWidth="1"/>
    <col min="3" max="3" width="28" customWidth="1"/>
    <col min="4" max="4" width="30" customWidth="1"/>
    <col min="5" max="6" width="12" customWidth="1"/>
    <col min="7" max="7" width="48" customWidth="1"/>
  </cols>
  <sheetData>
    <row r="1" spans="1:7" ht="24.95" customHeight="1">
      <c r="A1" s="4" t="s">
        <v>0</v>
      </c>
      <c r="B1" s="5"/>
      <c r="C1" s="5"/>
      <c r="D1" s="5"/>
      <c r="E1" s="5"/>
      <c r="F1" s="5"/>
      <c r="G1" s="6" t="s">
        <v>6</v>
      </c>
    </row>
    <row r="2" spans="1:7" ht="30" customHeight="1">
      <c r="A2" s="105" t="s">
        <v>236</v>
      </c>
      <c r="B2" s="83"/>
      <c r="C2" s="83"/>
      <c r="D2" s="83"/>
      <c r="E2" s="83"/>
      <c r="F2" s="83"/>
      <c r="G2" s="83"/>
    </row>
    <row r="3" spans="1:7" ht="23.1" customHeight="1">
      <c r="A3" s="104" t="s">
        <v>237</v>
      </c>
      <c r="B3" s="83"/>
      <c r="C3" s="83"/>
      <c r="D3" s="83"/>
      <c r="E3" s="83"/>
      <c r="F3" s="83"/>
      <c r="G3" s="83"/>
    </row>
    <row r="4" spans="1:7" ht="18.95" customHeight="1">
      <c r="A4" s="102" t="s">
        <v>238</v>
      </c>
      <c r="B4" s="103"/>
      <c r="C4" s="103"/>
      <c r="D4" s="103"/>
      <c r="E4" s="103"/>
      <c r="F4" s="103"/>
      <c r="G4" s="103"/>
    </row>
    <row r="5" spans="1:7" ht="33.950000000000003" customHeight="1">
      <c r="A5" s="7" t="s">
        <v>64</v>
      </c>
      <c r="B5" s="8" t="s">
        <v>239</v>
      </c>
      <c r="C5" s="8" t="s">
        <v>240</v>
      </c>
      <c r="D5" s="8" t="s">
        <v>241</v>
      </c>
      <c r="E5" s="8" t="s">
        <v>67</v>
      </c>
      <c r="F5" s="8" t="s">
        <v>68</v>
      </c>
      <c r="G5" s="9" t="s">
        <v>242</v>
      </c>
    </row>
    <row r="6" spans="1:7" ht="48" customHeight="1">
      <c r="A6" s="10" t="s">
        <v>243</v>
      </c>
      <c r="B6" s="11" t="s">
        <v>244</v>
      </c>
      <c r="C6" s="11" t="s">
        <v>245</v>
      </c>
      <c r="D6" s="11" t="s">
        <v>246</v>
      </c>
      <c r="E6" s="11" t="s">
        <v>74</v>
      </c>
      <c r="F6" s="11" t="s">
        <v>247</v>
      </c>
      <c r="G6" s="13" t="s">
        <v>248</v>
      </c>
    </row>
    <row r="7" spans="1:7" ht="48" customHeight="1">
      <c r="A7" s="14" t="s">
        <v>249</v>
      </c>
      <c r="B7" s="15" t="s">
        <v>168</v>
      </c>
      <c r="C7" s="15" t="s">
        <v>250</v>
      </c>
      <c r="D7" s="15" t="s">
        <v>251</v>
      </c>
      <c r="E7" s="15" t="s">
        <v>74</v>
      </c>
      <c r="F7" s="15" t="s">
        <v>252</v>
      </c>
      <c r="G7" s="17" t="s">
        <v>253</v>
      </c>
    </row>
    <row r="8" spans="1:7" ht="48" customHeight="1">
      <c r="A8" s="10" t="s">
        <v>254</v>
      </c>
      <c r="B8" s="11" t="s">
        <v>255</v>
      </c>
      <c r="C8" s="11" t="s">
        <v>256</v>
      </c>
      <c r="D8" s="11" t="s">
        <v>257</v>
      </c>
      <c r="E8" s="11" t="s">
        <v>159</v>
      </c>
      <c r="F8" s="11" t="s">
        <v>258</v>
      </c>
      <c r="G8" s="13" t="s">
        <v>259</v>
      </c>
    </row>
    <row r="9" spans="1:7" ht="48" customHeight="1">
      <c r="A9" s="14" t="s">
        <v>260</v>
      </c>
      <c r="B9" s="15" t="s">
        <v>261</v>
      </c>
      <c r="C9" s="15" t="s">
        <v>262</v>
      </c>
      <c r="D9" s="15" t="s">
        <v>263</v>
      </c>
      <c r="E9" s="15" t="s">
        <v>129</v>
      </c>
      <c r="F9" s="15" t="s">
        <v>264</v>
      </c>
      <c r="G9" s="17" t="s">
        <v>265</v>
      </c>
    </row>
    <row r="10" spans="1:7" ht="48" customHeight="1">
      <c r="A10" s="36" t="s">
        <v>266</v>
      </c>
      <c r="B10" s="37" t="s">
        <v>267</v>
      </c>
      <c r="C10" s="37" t="s">
        <v>268</v>
      </c>
      <c r="D10" s="37" t="s">
        <v>269</v>
      </c>
      <c r="E10" s="37" t="s">
        <v>178</v>
      </c>
      <c r="F10" s="37" t="s">
        <v>270</v>
      </c>
      <c r="G10" s="38" t="s">
        <v>271</v>
      </c>
    </row>
  </sheetData>
  <mergeCells count="3">
    <mergeCell ref="A3:G3"/>
    <mergeCell ref="A2:G2"/>
    <mergeCell ref="A4:G4"/>
  </mergeCells>
  <printOptions horizontalCentered="1"/>
  <pageMargins left="0.28000000000000003" right="0.28000000000000003" top="0.55000000000000004" bottom="0.45" header="0.25" footer="0.25"/>
  <pageSetup paperSize="9" fitToHeight="0" orientation="landscape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rightToLeft="1" topLeftCell="A4" workbookViewId="0">
      <selection sqref="A1:B1"/>
    </sheetView>
  </sheetViews>
  <sheetFormatPr defaultRowHeight="14.25"/>
  <cols>
    <col min="1" max="1" width="10" customWidth="1"/>
    <col min="2" max="2" width="24" customWidth="1"/>
    <col min="3" max="3" width="28" customWidth="1"/>
    <col min="4" max="4" width="24" customWidth="1"/>
    <col min="5" max="6" width="12" customWidth="1"/>
    <col min="7" max="7" width="48" customWidth="1"/>
  </cols>
  <sheetData>
    <row r="1" spans="1:7" ht="24.95" customHeight="1">
      <c r="A1" s="4" t="s">
        <v>0</v>
      </c>
      <c r="B1" s="5"/>
      <c r="C1" s="5"/>
      <c r="D1" s="5"/>
      <c r="E1" s="5"/>
      <c r="F1" s="5"/>
      <c r="G1" s="6" t="s">
        <v>6</v>
      </c>
    </row>
    <row r="2" spans="1:7" ht="30" customHeight="1">
      <c r="A2" s="105" t="s">
        <v>272</v>
      </c>
      <c r="B2" s="83"/>
      <c r="C2" s="83"/>
      <c r="D2" s="83"/>
      <c r="E2" s="83"/>
      <c r="F2" s="83"/>
      <c r="G2" s="83"/>
    </row>
    <row r="3" spans="1:7" ht="23.1" customHeight="1">
      <c r="A3" s="104" t="s">
        <v>273</v>
      </c>
      <c r="B3" s="83"/>
      <c r="C3" s="83"/>
      <c r="D3" s="83"/>
      <c r="E3" s="83"/>
      <c r="F3" s="83"/>
      <c r="G3" s="83"/>
    </row>
    <row r="4" spans="1:7" ht="18.95" customHeight="1">
      <c r="A4" s="102" t="s">
        <v>274</v>
      </c>
      <c r="B4" s="103"/>
      <c r="C4" s="103"/>
      <c r="D4" s="103"/>
      <c r="E4" s="103"/>
      <c r="F4" s="103"/>
      <c r="G4" s="103"/>
    </row>
    <row r="5" spans="1:7" ht="33.950000000000003" customHeight="1">
      <c r="A5" s="7" t="s">
        <v>64</v>
      </c>
      <c r="B5" s="8" t="s">
        <v>275</v>
      </c>
      <c r="C5" s="8" t="s">
        <v>276</v>
      </c>
      <c r="D5" s="8" t="s">
        <v>277</v>
      </c>
      <c r="E5" s="8" t="s">
        <v>67</v>
      </c>
      <c r="F5" s="8" t="s">
        <v>68</v>
      </c>
      <c r="G5" s="9" t="s">
        <v>278</v>
      </c>
    </row>
    <row r="6" spans="1:7" ht="45" customHeight="1">
      <c r="A6" s="10" t="s">
        <v>279</v>
      </c>
      <c r="B6" s="11" t="s">
        <v>280</v>
      </c>
      <c r="C6" s="11" t="s">
        <v>281</v>
      </c>
      <c r="D6" s="11" t="s">
        <v>282</v>
      </c>
      <c r="E6" s="11" t="s">
        <v>198</v>
      </c>
      <c r="F6" s="11" t="s">
        <v>199</v>
      </c>
      <c r="G6" s="13" t="s">
        <v>283</v>
      </c>
    </row>
    <row r="7" spans="1:7" ht="45" customHeight="1">
      <c r="A7" s="14" t="s">
        <v>284</v>
      </c>
      <c r="B7" s="15" t="s">
        <v>285</v>
      </c>
      <c r="C7" s="15" t="s">
        <v>286</v>
      </c>
      <c r="D7" s="15" t="s">
        <v>287</v>
      </c>
      <c r="E7" s="15" t="s">
        <v>198</v>
      </c>
      <c r="F7" s="15" t="s">
        <v>204</v>
      </c>
      <c r="G7" s="17" t="s">
        <v>288</v>
      </c>
    </row>
    <row r="8" spans="1:7" ht="45" customHeight="1">
      <c r="A8" s="10" t="s">
        <v>289</v>
      </c>
      <c r="B8" s="11" t="s">
        <v>207</v>
      </c>
      <c r="C8" s="11" t="s">
        <v>290</v>
      </c>
      <c r="D8" s="11" t="s">
        <v>291</v>
      </c>
      <c r="E8" s="11" t="s">
        <v>198</v>
      </c>
      <c r="F8" s="11" t="s">
        <v>130</v>
      </c>
      <c r="G8" s="13" t="s">
        <v>292</v>
      </c>
    </row>
    <row r="9" spans="1:7" ht="45" customHeight="1">
      <c r="A9" s="14" t="s">
        <v>293</v>
      </c>
      <c r="B9" s="15" t="s">
        <v>294</v>
      </c>
      <c r="C9" s="15" t="s">
        <v>295</v>
      </c>
      <c r="D9" s="15" t="s">
        <v>296</v>
      </c>
      <c r="E9" s="15" t="s">
        <v>178</v>
      </c>
      <c r="F9" s="15" t="s">
        <v>297</v>
      </c>
      <c r="G9" s="17" t="s">
        <v>298</v>
      </c>
    </row>
    <row r="10" spans="1:7" ht="45" customHeight="1">
      <c r="A10" s="10" t="s">
        <v>299</v>
      </c>
      <c r="B10" s="11" t="s">
        <v>300</v>
      </c>
      <c r="C10" s="11" t="s">
        <v>301</v>
      </c>
      <c r="D10" s="11" t="s">
        <v>302</v>
      </c>
      <c r="E10" s="11" t="s">
        <v>74</v>
      </c>
      <c r="F10" s="11" t="s">
        <v>303</v>
      </c>
      <c r="G10" s="13" t="s">
        <v>304</v>
      </c>
    </row>
    <row r="11" spans="1:7" ht="45" customHeight="1">
      <c r="A11" s="60" t="s">
        <v>305</v>
      </c>
      <c r="B11" s="61" t="s">
        <v>191</v>
      </c>
      <c r="C11" s="61" t="s">
        <v>306</v>
      </c>
      <c r="D11" s="61" t="s">
        <v>307</v>
      </c>
      <c r="E11" s="61" t="s">
        <v>74</v>
      </c>
      <c r="F11" s="61" t="s">
        <v>193</v>
      </c>
      <c r="G11" s="62" t="s">
        <v>308</v>
      </c>
    </row>
  </sheetData>
  <mergeCells count="3">
    <mergeCell ref="A3:G3"/>
    <mergeCell ref="A2:G2"/>
    <mergeCell ref="A4:G4"/>
  </mergeCells>
  <printOptions horizontalCentered="1"/>
  <pageMargins left="0.28000000000000003" right="0.28000000000000003" top="0.55000000000000004" bottom="0.45" header="0.25" footer="0.25"/>
  <pageSetup paperSize="9" fitToHeight="0" orientation="landscape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showGridLines="0" rightToLeft="1" zoomScale="85" zoomScaleNormal="85" workbookViewId="0">
      <selection sqref="A1:B1"/>
    </sheetView>
  </sheetViews>
  <sheetFormatPr defaultRowHeight="14.25"/>
  <cols>
    <col min="1" max="1" width="10" customWidth="1"/>
    <col min="2" max="2" width="20" customWidth="1"/>
    <col min="3" max="3" width="27" customWidth="1"/>
    <col min="4" max="5" width="12" customWidth="1"/>
    <col min="6" max="6" width="32" customWidth="1"/>
    <col min="7" max="7" width="48" customWidth="1"/>
  </cols>
  <sheetData>
    <row r="1" spans="1:7" ht="24.95" customHeight="1">
      <c r="A1" s="4" t="s">
        <v>0</v>
      </c>
      <c r="B1" s="5"/>
      <c r="C1" s="5"/>
      <c r="D1" s="5"/>
      <c r="E1" s="5"/>
      <c r="F1" s="5"/>
      <c r="G1" s="6" t="s">
        <v>6</v>
      </c>
    </row>
    <row r="2" spans="1:7" ht="30" customHeight="1">
      <c r="A2" s="105" t="s">
        <v>309</v>
      </c>
      <c r="B2" s="83"/>
      <c r="C2" s="83"/>
      <c r="D2" s="83"/>
      <c r="E2" s="83"/>
      <c r="F2" s="83"/>
      <c r="G2" s="83"/>
    </row>
    <row r="3" spans="1:7" ht="23.1" customHeight="1">
      <c r="A3" s="104" t="s">
        <v>310</v>
      </c>
      <c r="B3" s="83"/>
      <c r="C3" s="83"/>
      <c r="D3" s="83"/>
      <c r="E3" s="83"/>
      <c r="F3" s="83"/>
      <c r="G3" s="83"/>
    </row>
    <row r="4" spans="1:7" ht="18.95" customHeight="1">
      <c r="A4" s="102" t="s">
        <v>311</v>
      </c>
      <c r="B4" s="103"/>
      <c r="C4" s="103"/>
      <c r="D4" s="103"/>
      <c r="E4" s="103"/>
      <c r="F4" s="103"/>
      <c r="G4" s="103"/>
    </row>
    <row r="5" spans="1:7" ht="33.950000000000003" customHeight="1">
      <c r="A5" s="7" t="s">
        <v>64</v>
      </c>
      <c r="B5" s="8" t="s">
        <v>312</v>
      </c>
      <c r="C5" s="8" t="s">
        <v>313</v>
      </c>
      <c r="D5" s="8" t="s">
        <v>67</v>
      </c>
      <c r="E5" s="8" t="s">
        <v>68</v>
      </c>
      <c r="F5" s="8" t="s">
        <v>314</v>
      </c>
      <c r="G5" s="9" t="s">
        <v>315</v>
      </c>
    </row>
    <row r="6" spans="1:7" ht="45" customHeight="1">
      <c r="A6" s="10" t="s">
        <v>316</v>
      </c>
      <c r="B6" s="11" t="s">
        <v>317</v>
      </c>
      <c r="C6" s="11" t="s">
        <v>216</v>
      </c>
      <c r="D6" s="11" t="s">
        <v>198</v>
      </c>
      <c r="E6" s="11" t="s">
        <v>218</v>
      </c>
      <c r="F6" s="11" t="s">
        <v>318</v>
      </c>
      <c r="G6" s="13" t="s">
        <v>319</v>
      </c>
    </row>
    <row r="7" spans="1:7" ht="45" customHeight="1">
      <c r="A7" s="14" t="s">
        <v>320</v>
      </c>
      <c r="B7" s="15" t="s">
        <v>317</v>
      </c>
      <c r="C7" s="15" t="s">
        <v>321</v>
      </c>
      <c r="D7" s="15" t="s">
        <v>198</v>
      </c>
      <c r="E7" s="15" t="s">
        <v>140</v>
      </c>
      <c r="F7" s="15" t="s">
        <v>322</v>
      </c>
      <c r="G7" s="17" t="s">
        <v>323</v>
      </c>
    </row>
    <row r="8" spans="1:7" ht="45" customHeight="1">
      <c r="A8" s="10" t="s">
        <v>324</v>
      </c>
      <c r="B8" s="11" t="s">
        <v>317</v>
      </c>
      <c r="C8" s="11" t="s">
        <v>325</v>
      </c>
      <c r="D8" s="11" t="s">
        <v>178</v>
      </c>
      <c r="E8" s="11" t="s">
        <v>218</v>
      </c>
      <c r="F8" s="11" t="s">
        <v>326</v>
      </c>
      <c r="G8" s="13" t="s">
        <v>327</v>
      </c>
    </row>
    <row r="9" spans="1:7" ht="45" customHeight="1">
      <c r="A9" s="14" t="s">
        <v>328</v>
      </c>
      <c r="B9" s="15" t="s">
        <v>329</v>
      </c>
      <c r="C9" s="15" t="s">
        <v>330</v>
      </c>
      <c r="D9" s="15" t="s">
        <v>178</v>
      </c>
      <c r="E9" s="15" t="s">
        <v>331</v>
      </c>
      <c r="F9" s="15" t="s">
        <v>332</v>
      </c>
      <c r="G9" s="17" t="s">
        <v>333</v>
      </c>
    </row>
    <row r="10" spans="1:7" ht="45" customHeight="1">
      <c r="A10" s="10" t="s">
        <v>334</v>
      </c>
      <c r="B10" s="11" t="s">
        <v>329</v>
      </c>
      <c r="C10" s="11" t="s">
        <v>335</v>
      </c>
      <c r="D10" s="11" t="s">
        <v>178</v>
      </c>
      <c r="E10" s="11" t="s">
        <v>188</v>
      </c>
      <c r="F10" s="11" t="s">
        <v>336</v>
      </c>
      <c r="G10" s="13" t="s">
        <v>337</v>
      </c>
    </row>
    <row r="11" spans="1:7" ht="45" customHeight="1">
      <c r="A11" s="60" t="s">
        <v>338</v>
      </c>
      <c r="B11" s="61" t="s">
        <v>329</v>
      </c>
      <c r="C11" s="61" t="s">
        <v>339</v>
      </c>
      <c r="D11" s="61" t="s">
        <v>198</v>
      </c>
      <c r="E11" s="61" t="s">
        <v>340</v>
      </c>
      <c r="F11" s="61" t="s">
        <v>341</v>
      </c>
      <c r="G11" s="62" t="s">
        <v>342</v>
      </c>
    </row>
  </sheetData>
  <mergeCells count="3">
    <mergeCell ref="A3:G3"/>
    <mergeCell ref="A2:G2"/>
    <mergeCell ref="A4:G4"/>
  </mergeCells>
  <printOptions horizontalCentered="1"/>
  <pageMargins left="0.28000000000000003" right="0.28000000000000003" top="0.55000000000000004" bottom="0.45" header="0.25" footer="0.25"/>
  <pageSetup paperSize="9" fitToHeight="0" orientation="landscape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showGridLines="0" rightToLeft="1" zoomScale="85" zoomScaleNormal="85" workbookViewId="0">
      <selection sqref="A1:B1"/>
    </sheetView>
  </sheetViews>
  <sheetFormatPr defaultRowHeight="14.25"/>
  <cols>
    <col min="1" max="1" width="10" customWidth="1"/>
    <col min="2" max="2" width="28" customWidth="1"/>
    <col min="3" max="3" width="38" customWidth="1"/>
    <col min="4" max="6" width="18" customWidth="1"/>
  </cols>
  <sheetData>
    <row r="1" spans="1:6" ht="24.95" customHeight="1">
      <c r="A1" s="4" t="s">
        <v>0</v>
      </c>
      <c r="B1" s="5"/>
      <c r="C1" s="5"/>
      <c r="D1" s="5"/>
      <c r="E1" s="5"/>
      <c r="F1" s="6" t="s">
        <v>6</v>
      </c>
    </row>
    <row r="2" spans="1:6" ht="30" customHeight="1">
      <c r="A2" s="105" t="s">
        <v>343</v>
      </c>
      <c r="B2" s="83"/>
      <c r="C2" s="83"/>
      <c r="D2" s="83"/>
      <c r="E2" s="83"/>
      <c r="F2" s="83"/>
    </row>
    <row r="3" spans="1:6" ht="23.1" customHeight="1">
      <c r="A3" s="104" t="s">
        <v>344</v>
      </c>
      <c r="B3" s="83"/>
      <c r="C3" s="83"/>
      <c r="D3" s="83"/>
      <c r="E3" s="83"/>
      <c r="F3" s="83"/>
    </row>
    <row r="4" spans="1:6" ht="18.95" customHeight="1">
      <c r="A4" s="102" t="s">
        <v>345</v>
      </c>
      <c r="B4" s="103"/>
      <c r="C4" s="103"/>
      <c r="D4" s="103"/>
      <c r="E4" s="103"/>
      <c r="F4" s="103"/>
    </row>
    <row r="5" spans="1:6" ht="33.950000000000003" customHeight="1">
      <c r="A5" s="7" t="s">
        <v>64</v>
      </c>
      <c r="B5" s="8" t="s">
        <v>40</v>
      </c>
      <c r="C5" s="8" t="s">
        <v>346</v>
      </c>
      <c r="D5" s="23"/>
      <c r="E5" s="23"/>
      <c r="F5" s="24"/>
    </row>
    <row r="6" spans="1:6" ht="54.95" customHeight="1">
      <c r="A6" s="10" t="s">
        <v>27</v>
      </c>
      <c r="B6" s="11" t="s">
        <v>148</v>
      </c>
      <c r="C6" s="127" t="s">
        <v>347</v>
      </c>
      <c r="D6" s="125"/>
      <c r="E6" s="125"/>
      <c r="F6" s="126"/>
    </row>
    <row r="7" spans="1:6" ht="54.95" customHeight="1">
      <c r="A7" s="14" t="s">
        <v>45</v>
      </c>
      <c r="B7" s="15" t="s">
        <v>348</v>
      </c>
      <c r="C7" s="113" t="s">
        <v>349</v>
      </c>
      <c r="D7" s="125"/>
      <c r="E7" s="125"/>
      <c r="F7" s="126"/>
    </row>
    <row r="8" spans="1:6" ht="54.95" customHeight="1">
      <c r="A8" s="10" t="s">
        <v>49</v>
      </c>
      <c r="B8" s="11" t="s">
        <v>79</v>
      </c>
      <c r="C8" s="127" t="s">
        <v>350</v>
      </c>
      <c r="D8" s="125"/>
      <c r="E8" s="125"/>
      <c r="F8" s="126"/>
    </row>
    <row r="9" spans="1:6" ht="54.95" customHeight="1">
      <c r="A9" s="14" t="s">
        <v>53</v>
      </c>
      <c r="B9" s="15" t="s">
        <v>351</v>
      </c>
      <c r="C9" s="113" t="s">
        <v>352</v>
      </c>
      <c r="D9" s="125"/>
      <c r="E9" s="125"/>
      <c r="F9" s="126"/>
    </row>
    <row r="10" spans="1:6" ht="54.95" customHeight="1">
      <c r="A10" s="10" t="s">
        <v>57</v>
      </c>
      <c r="B10" s="11" t="s">
        <v>353</v>
      </c>
      <c r="C10" s="127" t="s">
        <v>354</v>
      </c>
      <c r="D10" s="125"/>
      <c r="E10" s="125"/>
      <c r="F10" s="126"/>
    </row>
    <row r="11" spans="1:6" ht="54.95" customHeight="1">
      <c r="A11" s="14" t="s">
        <v>355</v>
      </c>
      <c r="B11" s="15" t="s">
        <v>267</v>
      </c>
      <c r="C11" s="113" t="s">
        <v>356</v>
      </c>
      <c r="D11" s="125"/>
      <c r="E11" s="125"/>
      <c r="F11" s="126"/>
    </row>
    <row r="12" spans="1:6" ht="54.95" customHeight="1">
      <c r="A12" s="10" t="s">
        <v>357</v>
      </c>
      <c r="B12" s="11" t="s">
        <v>358</v>
      </c>
      <c r="C12" s="127" t="s">
        <v>359</v>
      </c>
      <c r="D12" s="125"/>
      <c r="E12" s="125"/>
      <c r="F12" s="126"/>
    </row>
    <row r="13" spans="1:6" ht="54.95" customHeight="1">
      <c r="A13" s="60" t="s">
        <v>360</v>
      </c>
      <c r="B13" s="61" t="s">
        <v>361</v>
      </c>
      <c r="C13" s="122" t="s">
        <v>362</v>
      </c>
      <c r="D13" s="123"/>
      <c r="E13" s="123"/>
      <c r="F13" s="124"/>
    </row>
  </sheetData>
  <mergeCells count="11">
    <mergeCell ref="C13:F13"/>
    <mergeCell ref="A2:F2"/>
    <mergeCell ref="C9:F9"/>
    <mergeCell ref="C8:F8"/>
    <mergeCell ref="C12:F12"/>
    <mergeCell ref="C6:F6"/>
    <mergeCell ref="C7:F7"/>
    <mergeCell ref="C11:F11"/>
    <mergeCell ref="A4:F4"/>
    <mergeCell ref="A3:F3"/>
    <mergeCell ref="C10:F10"/>
  </mergeCells>
  <printOptions horizontalCentered="1"/>
  <pageMargins left="0.28000000000000003" right="0.28000000000000003" top="0.55000000000000004" bottom="0.45" header="0.25" footer="0.25"/>
  <pageSetup paperSize="9" fitToHeight="0" orientation="landscape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showGridLines="0" rightToLeft="1" zoomScale="85" zoomScaleNormal="85" workbookViewId="0">
      <selection sqref="A1:B1"/>
    </sheetView>
  </sheetViews>
  <sheetFormatPr defaultRowHeight="14.25"/>
  <cols>
    <col min="1" max="1" width="34" customWidth="1"/>
    <col min="2" max="2" width="22" customWidth="1"/>
    <col min="3" max="3" width="14" customWidth="1"/>
    <col min="4" max="7" width="16" customWidth="1"/>
  </cols>
  <sheetData>
    <row r="1" spans="1:7" ht="24.95" customHeight="1">
      <c r="A1" s="4" t="s">
        <v>0</v>
      </c>
      <c r="B1" s="5"/>
      <c r="C1" s="5"/>
      <c r="D1" s="5"/>
      <c r="E1" s="5"/>
      <c r="F1" s="5"/>
      <c r="G1" s="6" t="s">
        <v>6</v>
      </c>
    </row>
    <row r="2" spans="1:7" ht="30" customHeight="1">
      <c r="A2" s="105" t="s">
        <v>363</v>
      </c>
      <c r="B2" s="83"/>
      <c r="C2" s="83"/>
      <c r="D2" s="83"/>
      <c r="E2" s="83"/>
      <c r="F2" s="83"/>
      <c r="G2" s="83"/>
    </row>
    <row r="3" spans="1:7" ht="23.1" customHeight="1">
      <c r="A3" s="104" t="s">
        <v>364</v>
      </c>
      <c r="B3" s="83"/>
      <c r="C3" s="83"/>
      <c r="D3" s="83"/>
      <c r="E3" s="83"/>
      <c r="F3" s="83"/>
      <c r="G3" s="83"/>
    </row>
    <row r="4" spans="1:7" ht="18.95" customHeight="1">
      <c r="A4" s="102" t="s">
        <v>365</v>
      </c>
      <c r="B4" s="103"/>
      <c r="C4" s="103"/>
      <c r="D4" s="103"/>
      <c r="E4" s="103"/>
      <c r="F4" s="103"/>
      <c r="G4" s="103"/>
    </row>
    <row r="5" spans="1:7" ht="33.950000000000003" customHeight="1">
      <c r="A5" s="7" t="s">
        <v>366</v>
      </c>
      <c r="B5" s="8" t="s">
        <v>367</v>
      </c>
      <c r="C5" s="8" t="s">
        <v>368</v>
      </c>
      <c r="D5" s="9" t="s">
        <v>369</v>
      </c>
      <c r="E5" s="1"/>
      <c r="F5" s="1"/>
      <c r="G5" s="1"/>
    </row>
    <row r="6" spans="1:7">
      <c r="A6" s="64" t="s">
        <v>370</v>
      </c>
      <c r="B6" s="65">
        <f>SUM('04 | BOQ | برآورد'!G6:G9)</f>
        <v>77950000</v>
      </c>
      <c r="C6" s="66">
        <f t="shared" ref="C6:C14" si="0">B6/$B$15</f>
        <v>4.3983636620115674E-2</v>
      </c>
      <c r="D6" s="67" t="s">
        <v>371</v>
      </c>
    </row>
    <row r="7" spans="1:7">
      <c r="A7" s="68" t="s">
        <v>372</v>
      </c>
      <c r="B7" s="69">
        <f>SUM('04 | BOQ | برآورد'!G10:G11)</f>
        <v>169200000</v>
      </c>
      <c r="C7" s="70">
        <f t="shared" si="0"/>
        <v>9.5471857807871346E-2</v>
      </c>
      <c r="D7" s="71" t="s">
        <v>371</v>
      </c>
    </row>
    <row r="8" spans="1:7">
      <c r="A8" s="64" t="s">
        <v>373</v>
      </c>
      <c r="B8" s="65">
        <f>SUM('04 | BOQ | برآورد'!G12:G15)</f>
        <v>746400000</v>
      </c>
      <c r="C8" s="66">
        <f t="shared" si="0"/>
        <v>0.4211595429538722</v>
      </c>
      <c r="D8" s="67" t="s">
        <v>371</v>
      </c>
    </row>
    <row r="9" spans="1:7">
      <c r="A9" s="68" t="s">
        <v>374</v>
      </c>
      <c r="B9" s="69">
        <f>SUM('04 | BOQ | برآورد'!G16:G17)</f>
        <v>231000000</v>
      </c>
      <c r="C9" s="70">
        <f t="shared" si="0"/>
        <v>0.13034278459585272</v>
      </c>
      <c r="D9" s="71" t="s">
        <v>371</v>
      </c>
    </row>
    <row r="10" spans="1:7">
      <c r="A10" s="64" t="s">
        <v>375</v>
      </c>
      <c r="B10" s="65">
        <f>SUM('04 | BOQ | برآورد'!G18:G19)</f>
        <v>129050000</v>
      </c>
      <c r="C10" s="66">
        <f t="shared" si="0"/>
        <v>7.2817040485258847E-2</v>
      </c>
      <c r="D10" s="67" t="s">
        <v>371</v>
      </c>
    </row>
    <row r="11" spans="1:7">
      <c r="A11" s="68" t="s">
        <v>376</v>
      </c>
      <c r="B11" s="69">
        <f>SUM('04 | BOQ | برآورد'!G20:G23)</f>
        <v>117050000</v>
      </c>
      <c r="C11" s="70">
        <f t="shared" si="0"/>
        <v>6.6045986740019755E-2</v>
      </c>
      <c r="D11" s="71" t="s">
        <v>371</v>
      </c>
    </row>
    <row r="12" spans="1:7">
      <c r="A12" s="64" t="s">
        <v>377</v>
      </c>
      <c r="B12" s="65">
        <f>SUM('04 | BOQ | برآورد'!G24:G24)</f>
        <v>135000000</v>
      </c>
      <c r="C12" s="66">
        <f t="shared" si="0"/>
        <v>7.61743546339399E-2</v>
      </c>
      <c r="D12" s="67" t="s">
        <v>371</v>
      </c>
    </row>
    <row r="13" spans="1:7">
      <c r="A13" s="68" t="s">
        <v>378</v>
      </c>
      <c r="B13" s="69">
        <f>SUM('04 | BOQ | برآورد'!G25:G27)</f>
        <v>101600000</v>
      </c>
      <c r="C13" s="70">
        <f t="shared" si="0"/>
        <v>5.7328255043024405E-2</v>
      </c>
      <c r="D13" s="71" t="s">
        <v>371</v>
      </c>
    </row>
    <row r="14" spans="1:7">
      <c r="A14" s="64" t="s">
        <v>379</v>
      </c>
      <c r="B14" s="65">
        <f>SUM('04 | BOQ | برآورد'!G28:G28)</f>
        <v>65000000</v>
      </c>
      <c r="C14" s="66">
        <f t="shared" si="0"/>
        <v>3.667654112004514E-2</v>
      </c>
      <c r="D14" s="67" t="s">
        <v>371</v>
      </c>
    </row>
    <row r="15" spans="1:7">
      <c r="A15" s="72" t="s">
        <v>233</v>
      </c>
      <c r="B15" s="73">
        <f>SUM(B6:B14)</f>
        <v>1772250000</v>
      </c>
      <c r="C15" s="74"/>
      <c r="D15" s="32"/>
    </row>
    <row r="16" spans="1:7">
      <c r="A16" s="72" t="s">
        <v>380</v>
      </c>
      <c r="B16" s="73">
        <f>B15*10%</f>
        <v>177225000</v>
      </c>
      <c r="C16" s="74"/>
      <c r="D16" s="75"/>
    </row>
    <row r="17" spans="1:6">
      <c r="A17" s="76" t="s">
        <v>235</v>
      </c>
      <c r="B17" s="77">
        <f>B15+B16</f>
        <v>1949475000</v>
      </c>
      <c r="C17" s="78"/>
      <c r="D17" s="79"/>
    </row>
    <row r="20" spans="1:6" ht="24" customHeight="1">
      <c r="A20" s="137" t="s">
        <v>381</v>
      </c>
      <c r="B20" s="129"/>
      <c r="C20" s="130"/>
      <c r="D20" s="136" t="s">
        <v>382</v>
      </c>
      <c r="E20" s="129"/>
      <c r="F20" s="130"/>
    </row>
    <row r="21" spans="1:6" ht="30" customHeight="1">
      <c r="A21" s="132">
        <f>B15</f>
        <v>1772250000</v>
      </c>
      <c r="B21" s="133"/>
      <c r="C21" s="134"/>
      <c r="D21" s="135">
        <f>B16</f>
        <v>177225000</v>
      </c>
      <c r="E21" s="133"/>
      <c r="F21" s="134"/>
    </row>
    <row r="23" spans="1:6" ht="24" customHeight="1">
      <c r="A23" s="131" t="s">
        <v>383</v>
      </c>
      <c r="B23" s="129"/>
      <c r="C23" s="130"/>
      <c r="D23" s="128" t="s">
        <v>384</v>
      </c>
      <c r="E23" s="129"/>
      <c r="F23" s="130"/>
    </row>
    <row r="24" spans="1:6" ht="30" customHeight="1">
      <c r="A24" s="138">
        <f>B17</f>
        <v>1949475000</v>
      </c>
      <c r="B24" s="133"/>
      <c r="C24" s="134"/>
      <c r="D24" s="139" t="str">
        <f>'01 | Project Info'!F6</f>
        <v>≈ 495 m²</v>
      </c>
      <c r="E24" s="133"/>
      <c r="F24" s="134"/>
    </row>
  </sheetData>
  <mergeCells count="11">
    <mergeCell ref="A24:C24"/>
    <mergeCell ref="D24:F24"/>
    <mergeCell ref="D23:F23"/>
    <mergeCell ref="A23:C23"/>
    <mergeCell ref="A3:G3"/>
    <mergeCell ref="A4:G4"/>
    <mergeCell ref="A2:G2"/>
    <mergeCell ref="A21:C21"/>
    <mergeCell ref="D21:F21"/>
    <mergeCell ref="D20:F20"/>
    <mergeCell ref="A20:C20"/>
  </mergeCells>
  <printOptions horizontalCentered="1"/>
  <pageMargins left="0.28000000000000003" right="0.28000000000000003" top="0.55000000000000004" bottom="0.45" header="0.25" footer="0.25"/>
  <pageSetup paperSize="9" fitToHeight="0" orientation="landscape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showGridLines="0" rightToLeft="1" workbookViewId="0">
      <selection sqref="A1:B1"/>
    </sheetView>
  </sheetViews>
  <sheetFormatPr defaultRowHeight="14.25"/>
  <cols>
    <col min="1" max="1" width="14" customWidth="1"/>
    <col min="2" max="2" width="18" customWidth="1"/>
    <col min="3" max="3" width="50" customWidth="1"/>
    <col min="4" max="6" width="24" customWidth="1"/>
  </cols>
  <sheetData>
    <row r="1" spans="1:6" ht="24.95" customHeight="1" thickBot="1">
      <c r="A1" s="140" t="s">
        <v>0</v>
      </c>
      <c r="B1" s="140"/>
      <c r="C1" s="5"/>
      <c r="D1" s="5"/>
      <c r="E1" s="5"/>
      <c r="F1" s="6" t="s">
        <v>6</v>
      </c>
    </row>
    <row r="2" spans="1:6" ht="30" customHeight="1">
      <c r="A2" s="105" t="s">
        <v>385</v>
      </c>
      <c r="B2" s="83"/>
      <c r="C2" s="83"/>
      <c r="D2" s="83"/>
      <c r="E2" s="83"/>
      <c r="F2" s="83"/>
    </row>
    <row r="3" spans="1:6" ht="23.1" customHeight="1">
      <c r="A3" s="104" t="s">
        <v>386</v>
      </c>
      <c r="B3" s="83"/>
      <c r="C3" s="83"/>
      <c r="D3" s="83"/>
      <c r="E3" s="83"/>
      <c r="F3" s="83"/>
    </row>
    <row r="4" spans="1:6" ht="18.95" customHeight="1">
      <c r="A4" s="102" t="s">
        <v>387</v>
      </c>
      <c r="B4" s="103"/>
      <c r="C4" s="103"/>
      <c r="D4" s="103"/>
      <c r="E4" s="103"/>
      <c r="F4" s="103"/>
    </row>
    <row r="5" spans="1:6" ht="33.950000000000003" customHeight="1">
      <c r="A5" s="7" t="s">
        <v>388</v>
      </c>
      <c r="B5" s="8" t="s">
        <v>18</v>
      </c>
      <c r="C5" s="8" t="s">
        <v>389</v>
      </c>
      <c r="D5" s="8" t="s">
        <v>390</v>
      </c>
      <c r="E5" s="8" t="s">
        <v>391</v>
      </c>
      <c r="F5" s="9" t="s">
        <v>392</v>
      </c>
    </row>
    <row r="6" spans="1:6" ht="42" customHeight="1">
      <c r="A6" s="10" t="s">
        <v>27</v>
      </c>
      <c r="B6" s="11" t="s">
        <v>393</v>
      </c>
      <c r="C6" s="63" t="s">
        <v>394</v>
      </c>
      <c r="D6" s="63" t="s">
        <v>395</v>
      </c>
      <c r="E6" s="63" t="s">
        <v>13</v>
      </c>
      <c r="F6" s="67" t="s">
        <v>13</v>
      </c>
    </row>
    <row r="7" spans="1:6" ht="42" customHeight="1">
      <c r="A7" s="14" t="s">
        <v>45</v>
      </c>
      <c r="B7" s="15" t="s">
        <v>13</v>
      </c>
      <c r="C7" s="31" t="s">
        <v>13</v>
      </c>
      <c r="D7" s="31" t="s">
        <v>13</v>
      </c>
      <c r="E7" s="31" t="s">
        <v>13</v>
      </c>
      <c r="F7" s="71" t="s">
        <v>13</v>
      </c>
    </row>
    <row r="8" spans="1:6" ht="42" customHeight="1">
      <c r="A8" s="36" t="s">
        <v>49</v>
      </c>
      <c r="B8" s="37" t="s">
        <v>13</v>
      </c>
      <c r="C8" s="80" t="s">
        <v>13</v>
      </c>
      <c r="D8" s="80" t="s">
        <v>13</v>
      </c>
      <c r="E8" s="80" t="s">
        <v>13</v>
      </c>
      <c r="F8" s="81" t="s">
        <v>13</v>
      </c>
    </row>
  </sheetData>
  <mergeCells count="4">
    <mergeCell ref="A3:F3"/>
    <mergeCell ref="A2:F2"/>
    <mergeCell ref="A4:F4"/>
    <mergeCell ref="A1:B1"/>
  </mergeCells>
  <printOptions horizontalCentered="1"/>
  <pageMargins left="0.28000000000000003" right="0.28000000000000003" top="0.55000000000000004" bottom="0.45" header="0.25" footer="0.25"/>
  <pageSetup paperSize="9" fitToHeight="0" orientation="landscape"/>
  <headerFooter>
    <oddHeader>&amp;LMAJID EISAPOUR&amp;C&amp;"Aptos,Bold"&amp;9 MAJID EISAPOUR  |  Design &amp; Spatial Practice&amp;RDesign &amp; Spatial Practice</oddHeader>
    <oddFooter>&amp;L1405 / 2026  |  Rev. 01&amp;CLandscape Design &amp; Technical BOQ  |  طراحی منظر و برآورد فنی&amp;RPage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21</vt:i4>
      </vt:variant>
    </vt:vector>
  </HeadingPairs>
  <TitlesOfParts>
    <vt:vector size="32" baseType="lpstr">
      <vt:lpstr>00 | جلد و هویت</vt:lpstr>
      <vt:lpstr>01 | Project Info</vt:lpstr>
      <vt:lpstr>02 | Design Narrative</vt:lpstr>
      <vt:lpstr>03 | Design Basis</vt:lpstr>
      <vt:lpstr>04 | BOQ | برآورد</vt:lpstr>
      <vt:lpstr>05 | Material Schedule</vt:lpstr>
      <vt:lpstr>06 | Planting Schedule</vt:lpstr>
      <vt:lpstr>07 | Lighting &amp; Irrigation</vt:lpstr>
      <vt:lpstr>08 | Technical Notes</vt:lpstr>
      <vt:lpstr>09 | Cost Summary</vt:lpstr>
      <vt:lpstr>10 | Revision Log</vt:lpstr>
      <vt:lpstr>'00 | جلد و هویت'!Print_Area</vt:lpstr>
      <vt:lpstr>'01 | Project Info'!Print_Area</vt:lpstr>
      <vt:lpstr>'02 | Design Narrative'!Print_Area</vt:lpstr>
      <vt:lpstr>'03 | Design Basis'!Print_Area</vt:lpstr>
      <vt:lpstr>'04 | BOQ | برآورد'!Print_Area</vt:lpstr>
      <vt:lpstr>'05 | Material Schedule'!Print_Area</vt:lpstr>
      <vt:lpstr>'06 | Planting Schedule'!Print_Area</vt:lpstr>
      <vt:lpstr>'07 | Lighting &amp; Irrigation'!Print_Area</vt:lpstr>
      <vt:lpstr>'08 | Technical Notes'!Print_Area</vt:lpstr>
      <vt:lpstr>'09 | Cost Summary'!Print_Area</vt:lpstr>
      <vt:lpstr>'10 | Revision Log'!Print_Area</vt:lpstr>
      <vt:lpstr>'01 | Project Info'!Print_Titles</vt:lpstr>
      <vt:lpstr>'02 | Design Narrative'!Print_Titles</vt:lpstr>
      <vt:lpstr>'03 | Design Basis'!Print_Titles</vt:lpstr>
      <vt:lpstr>'04 | BOQ | برآورد'!Print_Titles</vt:lpstr>
      <vt:lpstr>'05 | Material Schedule'!Print_Titles</vt:lpstr>
      <vt:lpstr>'06 | Planting Schedule'!Print_Titles</vt:lpstr>
      <vt:lpstr>'07 | Lighting &amp; Irrigation'!Print_Titles</vt:lpstr>
      <vt:lpstr>'08 | Technical Notes'!Print_Titles</vt:lpstr>
      <vt:lpstr>'09 | Cost Summary'!Print_Titles</vt:lpstr>
      <vt:lpstr>'10 | Revision Log'!Print_Titles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MAJID EISAPOUR | Premium Landscape BOQ V2</dc:title>
  <dc:subject>Premium bilingual landscape documentation and technical BOQ</dc:subject>
  <dc:creator>MAJID EISAPOUR</dc:creator>
  <dc:description>Prepared &amp; Designed by MAJID EISAPOUR — Design &amp; Spatial Practice</dc:description>
  <cp:lastModifiedBy>MazanDasht</cp:lastModifiedBy>
  <cp:lastPrinted>2026-10-01T12:26:55Z</cp:lastPrinted>
  <dcterms:created xsi:type="dcterms:W3CDTF">2026-09-26T18:35:51Z</dcterms:created>
  <dcterms:modified xsi:type="dcterms:W3CDTF">2026-10-01T13:54:09Z</dcterms:modified>
</cp:coreProperties>
</file>